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 BATCH\"/>
    </mc:Choice>
  </mc:AlternateContent>
  <xr:revisionPtr revIDLastSave="0" documentId="13_ncr:1_{F4A72855-28F8-4D32-A6E5-88ACA25A9230}" xr6:coauthVersionLast="47" xr6:coauthVersionMax="47" xr10:uidLastSave="{00000000-0000-0000-0000-000000000000}"/>
  <bookViews>
    <workbookView xWindow="-108" yWindow="-108" windowWidth="23256" windowHeight="12456" activeTab="1" xr2:uid="{0113ED94-3A1D-488C-A5EB-1EF720DEF4DF}"/>
  </bookViews>
  <sheets>
    <sheet name="DATA" sheetId="1" r:id="rId1"/>
    <sheet name="DASHBO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62" i="1" l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D7" i="1" l="1" a="1"/>
  <c r="D17" i="1"/>
  <c r="D16" i="1"/>
  <c r="D18" i="1"/>
  <c r="D7" i="1" l="1"/>
  <c r="Q31" i="2"/>
  <c r="Q29" i="2"/>
  <c r="Q33" i="2" s="1"/>
  <c r="C30" i="2"/>
  <c r="C28" i="2"/>
  <c r="C32" i="2" s="1"/>
  <c r="C7" i="2"/>
  <c r="P9" i="2"/>
  <c r="P7" i="2"/>
  <c r="C9" i="2"/>
  <c r="D19" i="1"/>
  <c r="C12" i="2" l="1"/>
  <c r="P1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<sst xmlns="http://schemas.openxmlformats.org/spreadsheetml/2006/main" count="403" uniqueCount="56">
  <si>
    <t>NAME</t>
  </si>
  <si>
    <t>Q1 2024</t>
  </si>
  <si>
    <t>January</t>
  </si>
  <si>
    <t>February</t>
  </si>
  <si>
    <t>March</t>
  </si>
  <si>
    <t>Revenue</t>
  </si>
  <si>
    <t>Target Revenue</t>
  </si>
  <si>
    <t>Previous Year
Revenue</t>
  </si>
  <si>
    <t>Number of
Customers</t>
  </si>
  <si>
    <t>Number of
New Customers
Target</t>
  </si>
  <si>
    <t>Number of
New Customers</t>
  </si>
  <si>
    <t>Number of
New Customers
Previous Year</t>
  </si>
  <si>
    <t>Customer Acquisition Costs</t>
  </si>
  <si>
    <t>Customer AC (per customer)</t>
  </si>
  <si>
    <t>Customer AC (per customer) Target</t>
  </si>
  <si>
    <t>Customer Aquis. Costs (per customer) PY</t>
  </si>
  <si>
    <t>Revenue per
Customer</t>
  </si>
  <si>
    <t>Revenue per
Customer PY</t>
  </si>
  <si>
    <t>Target Revenue
per Customer</t>
  </si>
  <si>
    <t>Yusuf</t>
  </si>
  <si>
    <t>Arfat</t>
  </si>
  <si>
    <t>Aditi</t>
  </si>
  <si>
    <t>Pravin</t>
  </si>
  <si>
    <t>Owais</t>
  </si>
  <si>
    <t>TOTAL</t>
  </si>
  <si>
    <t>Q2 2024</t>
  </si>
  <si>
    <t>April</t>
  </si>
  <si>
    <t>May</t>
  </si>
  <si>
    <t>June</t>
  </si>
  <si>
    <t>Q3 2024</t>
  </si>
  <si>
    <t>July</t>
  </si>
  <si>
    <t>August</t>
  </si>
  <si>
    <t>September</t>
  </si>
  <si>
    <t>Q4 2024</t>
  </si>
  <si>
    <t>October</t>
  </si>
  <si>
    <t>November</t>
  </si>
  <si>
    <t>December</t>
  </si>
  <si>
    <t>TOTAL REVENUE PER YEAR</t>
  </si>
  <si>
    <t>TOTAL CUSTOMERS PER YEAR</t>
  </si>
  <si>
    <t>NEW CUSTOMERS PER YEAR</t>
  </si>
  <si>
    <t>REVENUE PER CUSTOMER</t>
  </si>
  <si>
    <t>Options :</t>
  </si>
  <si>
    <t>Actual
Revenue</t>
  </si>
  <si>
    <t>Target
Achievement</t>
  </si>
  <si>
    <t>Previous Year Revenue</t>
  </si>
  <si>
    <t>Revenue Compared Per Year</t>
  </si>
  <si>
    <t>New Customers Per Year</t>
  </si>
  <si>
    <t>New Customers</t>
  </si>
  <si>
    <t>Target</t>
  </si>
  <si>
    <t>Target Customers</t>
  </si>
  <si>
    <t>ACTIVE TABLE FOR SELECTED</t>
  </si>
  <si>
    <t>Actual Data</t>
  </si>
  <si>
    <t>Average Revenue Per Year</t>
  </si>
  <si>
    <t>Customers Acquisitions Costs Per Year</t>
  </si>
  <si>
    <t>Actual</t>
  </si>
  <si>
    <t>Target Revenue 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</si>
</sst>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&quot;₹&quot;\ #,##0.00"/>
    <numFmt numFmtId="166" formatCode="[$$-C09]#,##0.00"/>
  </numFmts>
  <fonts count="21" x14ac:knownFonts="1">
    <font>
      <sz val="11"/>
      <color theme="1"/>
      <name val="Aptos Narrow"/>
      <family val="2"/>
      <scheme val="minor"/>
    </font>
    <font>
      <b/>
      <u val="double"/>
      <sz val="16"/>
      <color theme="1"/>
      <name val="Calibri"/>
      <family val="2"/>
    </font>
    <font>
      <b/>
      <sz val="11"/>
      <color theme="1"/>
      <name val="Bahnschrift"/>
      <family val="2"/>
    </font>
    <font>
      <sz val="11"/>
      <color theme="1"/>
      <name val="Bahnschrift"/>
      <family val="2"/>
    </font>
    <font>
      <sz val="14"/>
      <color theme="1"/>
      <name val="Bahnschrift"/>
      <family val="2"/>
    </font>
    <font>
      <b/>
      <sz val="14"/>
      <color theme="1"/>
      <name val="Bahnschrift"/>
      <family val="2"/>
    </font>
    <font>
      <sz val="11"/>
      <color theme="1"/>
      <name val="Calibri"/>
      <family val="2"/>
    </font>
    <font>
      <sz val="14"/>
      <color rgb="FFFF0000"/>
      <name val="Bahnschrift"/>
      <family val="2"/>
    </font>
    <font>
      <b/>
      <u val="double"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Bahnschrift"/>
      <family val="2"/>
    </font>
    <font>
      <b/>
      <sz val="12"/>
      <color theme="1"/>
      <name val="Aptos Narrow"/>
      <family val="2"/>
      <scheme val="minor"/>
    </font>
    <font>
      <b/>
      <sz val="12"/>
      <color rgb="FF595959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sz val="16"/>
      <color rgb="FFC00000"/>
      <name val="Aptos Narrow"/>
      <family val="2"/>
      <scheme val="minor"/>
    </font>
    <font>
      <b/>
      <sz val="24"/>
      <color theme="1"/>
      <name val="Agency FB"/>
      <family val="2"/>
    </font>
    <font>
      <b/>
      <sz val="36"/>
      <color theme="1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b/>
      <sz val="36"/>
      <color theme="6" tint="-0.499984740745262"/>
      <name val="Baskerville Old Face"/>
      <family val="1"/>
    </font>
    <font>
      <b/>
      <sz val="22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rgb="FFDF726E"/>
      </patternFill>
    </fill>
    <fill>
      <patternFill patternType="solid">
        <fgColor rgb="FFF2F2F2"/>
        <bgColor rgb="FFF2F2F2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 tint="-4.9989318521683403E-2"/>
        <bgColor rgb="FFECECEC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31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64" fontId="4" fillId="3" borderId="3" xfId="0" applyNumberFormat="1" applyFont="1" applyFill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/>
    </xf>
    <xf numFmtId="164" fontId="5" fillId="3" borderId="6" xfId="0" applyNumberFormat="1" applyFont="1" applyFill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164" fontId="7" fillId="3" borderId="9" xfId="0" applyNumberFormat="1" applyFont="1" applyFill="1" applyBorder="1" applyAlignment="1">
      <alignment horizontal="center" vertical="center"/>
    </xf>
    <xf numFmtId="164" fontId="8" fillId="0" borderId="9" xfId="0" applyNumberFormat="1" applyFont="1" applyBorder="1"/>
    <xf numFmtId="165" fontId="8" fillId="0" borderId="9" xfId="0" applyNumberFormat="1" applyFont="1" applyBorder="1"/>
    <xf numFmtId="165" fontId="2" fillId="5" borderId="0" xfId="0" applyNumberFormat="1" applyFont="1" applyFill="1" applyAlignment="1">
      <alignment horizontal="center" vertical="center"/>
    </xf>
    <xf numFmtId="0" fontId="0" fillId="5" borderId="0" xfId="0" applyFill="1"/>
    <xf numFmtId="164" fontId="5" fillId="7" borderId="0" xfId="0" applyNumberFormat="1" applyFont="1" applyFill="1" applyAlignment="1">
      <alignment horizontal="center" vertical="center"/>
    </xf>
    <xf numFmtId="0" fontId="10" fillId="0" borderId="9" xfId="0" applyFont="1" applyBorder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0" fillId="6" borderId="0" xfId="0" applyFill="1"/>
    <xf numFmtId="0" fontId="12" fillId="6" borderId="0" xfId="0" applyFont="1" applyFill="1"/>
    <xf numFmtId="0" fontId="13" fillId="8" borderId="0" xfId="0" applyFont="1" applyFill="1" applyAlignment="1">
      <alignment vertical="center"/>
    </xf>
    <xf numFmtId="0" fontId="14" fillId="6" borderId="0" xfId="0" applyFont="1" applyFill="1"/>
    <xf numFmtId="10" fontId="0" fillId="6" borderId="9" xfId="0" applyNumberFormat="1" applyFill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10" fontId="0" fillId="6" borderId="9" xfId="0" applyNumberFormat="1" applyFill="1" applyBorder="1"/>
    <xf numFmtId="0" fontId="11" fillId="4" borderId="13" xfId="0" applyFont="1" applyFill="1" applyBorder="1" applyAlignment="1">
      <alignment horizontal="center" vertical="center"/>
    </xf>
    <xf numFmtId="164" fontId="4" fillId="3" borderId="14" xfId="0" applyNumberFormat="1" applyFont="1" applyFill="1" applyBorder="1" applyAlignment="1">
      <alignment horizontal="center" vertical="center"/>
    </xf>
    <xf numFmtId="164" fontId="5" fillId="3" borderId="14" xfId="0" applyNumberFormat="1" applyFont="1" applyFill="1" applyBorder="1" applyAlignment="1">
      <alignment horizontal="center" vertical="center"/>
    </xf>
    <xf numFmtId="165" fontId="2" fillId="6" borderId="12" xfId="0" applyNumberFormat="1" applyFont="1" applyFill="1" applyBorder="1" applyAlignment="1">
      <alignment horizontal="center" vertical="center"/>
    </xf>
    <xf numFmtId="165" fontId="2" fillId="6" borderId="0" xfId="0" applyNumberFormat="1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4" borderId="15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165" fontId="2" fillId="6" borderId="20" xfId="0" applyNumberFormat="1" applyFont="1" applyFill="1" applyBorder="1" applyAlignment="1">
      <alignment horizontal="center" vertical="center"/>
    </xf>
    <xf numFmtId="165" fontId="2" fillId="6" borderId="21" xfId="0" applyNumberFormat="1" applyFont="1" applyFill="1" applyBorder="1" applyAlignment="1">
      <alignment horizontal="center" vertical="center"/>
    </xf>
    <xf numFmtId="165" fontId="2" fillId="6" borderId="22" xfId="0" applyNumberFormat="1" applyFont="1" applyFill="1" applyBorder="1" applyAlignment="1">
      <alignment horizontal="center" vertical="center"/>
    </xf>
    <xf numFmtId="165" fontId="2" fillId="6" borderId="23" xfId="0" applyNumberFormat="1" applyFont="1" applyFill="1" applyBorder="1" applyAlignment="1">
      <alignment horizontal="center" vertical="center"/>
    </xf>
    <xf numFmtId="165" fontId="2" fillId="6" borderId="9" xfId="0" applyNumberFormat="1" applyFont="1" applyFill="1" applyBorder="1" applyAlignment="1">
      <alignment horizontal="center" vertical="center"/>
    </xf>
    <xf numFmtId="0" fontId="17" fillId="5" borderId="30" xfId="0" applyFont="1" applyFill="1" applyBorder="1" applyAlignment="1">
      <alignment horizontal="center" vertical="center" textRotation="90"/>
    </xf>
    <xf numFmtId="0" fontId="17" fillId="5" borderId="0" xfId="0" applyFont="1" applyFill="1" applyAlignment="1">
      <alignment horizontal="center" vertical="center" textRotation="90"/>
    </xf>
    <xf numFmtId="164" fontId="5" fillId="7" borderId="6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165" fontId="8" fillId="0" borderId="0" xfId="0" applyNumberFormat="1" applyFont="1"/>
    <xf numFmtId="164" fontId="7" fillId="7" borderId="0" xfId="0" applyNumberFormat="1" applyFont="1" applyFill="1" applyAlignment="1">
      <alignment horizontal="center" vertical="center"/>
    </xf>
    <xf numFmtId="0" fontId="12" fillId="6" borderId="0" xfId="0" applyFont="1" applyFill="1" applyAlignment="1">
      <alignment horizontal="left" vertical="top"/>
    </xf>
    <xf numFmtId="0" fontId="12" fillId="6" borderId="0" xfId="0" applyFont="1" applyFill="1" applyAlignment="1">
      <alignment horizontal="center"/>
    </xf>
    <xf numFmtId="166" fontId="0" fillId="6" borderId="9" xfId="0" applyNumberFormat="1" applyFill="1" applyBorder="1" applyAlignment="1">
      <alignment horizontal="center" vertical="center"/>
    </xf>
    <xf numFmtId="166" fontId="0" fillId="6" borderId="0" xfId="0" applyNumberFormat="1" applyFill="1"/>
    <xf numFmtId="166" fontId="0" fillId="6" borderId="9" xfId="0" applyNumberFormat="1" applyFill="1" applyBorder="1"/>
    <xf numFmtId="165" fontId="19" fillId="5" borderId="15" xfId="0" applyNumberFormat="1" applyFont="1" applyFill="1" applyBorder="1" applyAlignment="1">
      <alignment horizontal="center" vertical="center"/>
    </xf>
    <xf numFmtId="165" fontId="19" fillId="5" borderId="16" xfId="0" applyNumberFormat="1" applyFont="1" applyFill="1" applyBorder="1" applyAlignment="1">
      <alignment horizontal="center" vertical="center"/>
    </xf>
    <xf numFmtId="165" fontId="19" fillId="5" borderId="17" xfId="0" applyNumberFormat="1" applyFont="1" applyFill="1" applyBorder="1" applyAlignment="1">
      <alignment horizontal="center" vertical="center"/>
    </xf>
    <xf numFmtId="165" fontId="19" fillId="5" borderId="24" xfId="0" applyNumberFormat="1" applyFont="1" applyFill="1" applyBorder="1" applyAlignment="1">
      <alignment horizontal="center" vertical="center"/>
    </xf>
    <xf numFmtId="165" fontId="19" fillId="5" borderId="25" xfId="0" applyNumberFormat="1" applyFont="1" applyFill="1" applyBorder="1" applyAlignment="1">
      <alignment horizontal="center" vertical="center"/>
    </xf>
    <xf numFmtId="165" fontId="19" fillId="5" borderId="26" xfId="0" applyNumberFormat="1" applyFont="1" applyFill="1" applyBorder="1" applyAlignment="1">
      <alignment horizontal="center" vertical="center"/>
    </xf>
    <xf numFmtId="0" fontId="17" fillId="9" borderId="0" xfId="0" applyFont="1" applyFill="1" applyAlignment="1">
      <alignment horizontal="center" vertical="center" textRotation="90"/>
    </xf>
    <xf numFmtId="0" fontId="17" fillId="10" borderId="30" xfId="0" applyFont="1" applyFill="1" applyBorder="1" applyAlignment="1">
      <alignment horizontal="center" vertical="center" textRotation="90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7" fillId="9" borderId="30" xfId="0" applyFont="1" applyFill="1" applyBorder="1" applyAlignment="1">
      <alignment horizontal="center" vertical="center" textRotation="90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5" fillId="6" borderId="27" xfId="0" applyFont="1" applyFill="1" applyBorder="1" applyAlignment="1">
      <alignment horizontal="center" vertical="center"/>
    </xf>
    <xf numFmtId="0" fontId="15" fillId="6" borderId="28" xfId="0" applyFont="1" applyFill="1" applyBorder="1" applyAlignment="1">
      <alignment horizontal="center" vertical="center"/>
    </xf>
    <xf numFmtId="0" fontId="15" fillId="6" borderId="29" xfId="0" applyFont="1" applyFill="1" applyBorder="1" applyAlignment="1">
      <alignment horizontal="center" vertical="center"/>
    </xf>
    <xf numFmtId="0" fontId="16" fillId="0" borderId="9" xfId="0" applyFont="1" applyBorder="1" applyAlignment="1">
      <alignment horizontal="center"/>
    </xf>
    <xf numFmtId="0" fontId="15" fillId="6" borderId="27" xfId="0" applyFont="1" applyFill="1" applyBorder="1" applyAlignment="1">
      <alignment horizontal="center"/>
    </xf>
    <xf numFmtId="0" fontId="15" fillId="6" borderId="28" xfId="0" applyFont="1" applyFill="1" applyBorder="1" applyAlignment="1">
      <alignment horizontal="center"/>
    </xf>
    <xf numFmtId="0" fontId="15" fillId="6" borderId="29" xfId="0" applyFont="1" applyFill="1" applyBorder="1" applyAlignment="1">
      <alignment horizontal="center"/>
    </xf>
    <xf numFmtId="0" fontId="13" fillId="8" borderId="0" xfId="0" applyFont="1" applyFill="1" applyAlignment="1">
      <alignment horizontal="center" vertical="center"/>
    </xf>
    <xf numFmtId="0" fontId="13" fillId="8" borderId="0" xfId="0" applyFont="1" applyFill="1" applyAlignment="1">
      <alignment horizontal="center" vertical="center" wrapText="1"/>
    </xf>
    <xf numFmtId="0" fontId="13" fillId="8" borderId="0" xfId="0" applyFont="1" applyFill="1" applyAlignment="1">
      <alignment vertical="center"/>
    </xf>
    <xf numFmtId="0" fontId="15" fillId="6" borderId="9" xfId="0" applyFont="1" applyFill="1" applyBorder="1" applyAlignment="1">
      <alignment horizontal="center"/>
    </xf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/>
              <a:t> Revenue</a:t>
            </a:r>
            <a:r>
              <a:rPr lang="en-IN" sz="1600" b="1" baseline="0"/>
              <a:t> Compare Per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Current Year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DATA!$J$7:$L$7</c:f>
              <c:strCache>
                <c:ptCount val="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</c:strCache>
            </c:strRef>
          </c:cat>
          <c:val>
            <c:numRef>
              <c:f>DATA!$G$14:$I$14</c:f>
              <c:numCache>
                <c:formatCode>"₹"\ #,##0.00</c:formatCode>
                <c:ptCount val="3"/>
                <c:pt idx="0">
                  <c:v>800000</c:v>
                </c:pt>
                <c:pt idx="1">
                  <c:v>725000</c:v>
                </c:pt>
                <c:pt idx="2">
                  <c:v>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7C-4D9A-B3D3-01EF910B6702}"/>
            </c:ext>
          </c:extLst>
        </c:ser>
        <c:ser>
          <c:idx val="1"/>
          <c:order val="1"/>
          <c:tx>
            <c:v>Previous Year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DATA!$J$7:$L$7</c:f>
              <c:strCache>
                <c:ptCount val="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</c:strCache>
            </c:strRef>
          </c:cat>
          <c:val>
            <c:numRef>
              <c:f>DATA!$J$14:$L$14</c:f>
              <c:numCache>
                <c:formatCode>"₹"\ #,##0.00</c:formatCode>
                <c:ptCount val="3"/>
                <c:pt idx="0">
                  <c:v>715000</c:v>
                </c:pt>
                <c:pt idx="1">
                  <c:v>740000</c:v>
                </c:pt>
                <c:pt idx="2">
                  <c:v>690000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7C-4D9A-B3D3-01EF910B6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914528"/>
        <c:axId val="149916448"/>
      </c:barChart>
      <c:catAx>
        <c:axId val="14991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16448"/>
        <c:crosses val="autoZero"/>
        <c:auto val="1"/>
        <c:lblAlgn val="ctr"/>
        <c:lblOffset val="100"/>
        <c:noMultiLvlLbl val="0"/>
      </c:catAx>
      <c:valAx>
        <c:axId val="14991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1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New</a:t>
            </a:r>
            <a:r>
              <a:rPr lang="en-IN" baseline="0"/>
              <a:t> Customers Per Year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Target Of New Customers</c:v>
          </c:tx>
          <c:spPr>
            <a:gradFill>
              <a:gsLst>
                <a:gs pos="100000">
                  <a:schemeClr val="accent1">
                    <a:tint val="77000"/>
                    <a:alpha val="0"/>
                  </a:schemeClr>
                </a:gs>
                <a:gs pos="50000">
                  <a:schemeClr val="accent1">
                    <a:tint val="77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DATA!$V$7:$X$7</c:f>
              <c:strCache>
                <c:ptCount val="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</c:strCache>
            </c:strRef>
          </c:cat>
          <c:val>
            <c:numRef>
              <c:f>DATA!$P$14:$R$14</c:f>
              <c:numCache>
                <c:formatCode>"₹"\ #,##0.00</c:formatCode>
                <c:ptCount val="3"/>
                <c:pt idx="0">
                  <c:v>100</c:v>
                </c:pt>
                <c:pt idx="1">
                  <c:v>125</c:v>
                </c:pt>
                <c:pt idx="2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4-4656-94BE-F66B3A670D97}"/>
            </c:ext>
          </c:extLst>
        </c:ser>
        <c:ser>
          <c:idx val="1"/>
          <c:order val="1"/>
          <c:tx>
            <c:v>New Customers</c:v>
          </c:tx>
          <c:spPr>
            <a:gradFill>
              <a:gsLst>
                <a:gs pos="100000">
                  <a:schemeClr val="accent1">
                    <a:shade val="76000"/>
                    <a:alpha val="0"/>
                  </a:schemeClr>
                </a:gs>
                <a:gs pos="50000">
                  <a:schemeClr val="accent1">
                    <a:shade val="76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DATA!$V$7:$X$7</c:f>
              <c:strCache>
                <c:ptCount val="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</c:strCache>
            </c:strRef>
          </c:cat>
          <c:val>
            <c:numRef>
              <c:f>DATA!$S$14:$U$14</c:f>
              <c:numCache>
                <c:formatCode>"₹"\ #,##0.00</c:formatCode>
                <c:ptCount val="3"/>
                <c:pt idx="0">
                  <c:v>102</c:v>
                </c:pt>
                <c:pt idx="1">
                  <c:v>100</c:v>
                </c:pt>
                <c:pt idx="2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4-4656-94BE-F66B3A670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153411328"/>
        <c:axId val="153412768"/>
        <c:axId val="0"/>
      </c:bar3DChart>
      <c:catAx>
        <c:axId val="15341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12768"/>
        <c:crosses val="autoZero"/>
        <c:auto val="1"/>
        <c:lblAlgn val="ctr"/>
        <c:lblOffset val="100"/>
        <c:noMultiLvlLbl val="0"/>
      </c:catAx>
      <c:valAx>
        <c:axId val="15341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1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200" b="1" i="0" u="none" strike="noStrike" kern="1200" cap="none" spc="5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200" b="1" i="0" u="none" strike="noStrike" kern="1200" baseline="0">
                <a:solidFill>
                  <a:srgbClr val="757575"/>
                </a:solidFill>
              </a:rPr>
              <a:t>Average Revenue Per Cust. compared to
 previous  year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200" b="1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IN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200" b="1" i="0" u="none" strike="noStrike" kern="1200" cap="none" spc="5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Actual Average Revenue</c:v>
          </c:tx>
          <c:spPr>
            <a:solidFill>
              <a:schemeClr val="accent5">
                <a:shade val="76000"/>
              </a:schemeClr>
            </a:solidFill>
            <a:ln>
              <a:solidFill>
                <a:schemeClr val="accent5">
                  <a:shade val="76000"/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5">
                  <a:shade val="76000"/>
                  <a:lumMod val="75000"/>
                </a:schemeClr>
              </a:contourClr>
            </a:sp3d>
          </c:spPr>
          <c:invertIfNegative val="0"/>
          <c:cat>
            <c:strRef>
              <c:f>DATA!$AK$7:$AM$7</c:f>
              <c:strCache>
                <c:ptCount val="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</c:strCache>
            </c:strRef>
          </c:cat>
          <c:val>
            <c:numRef>
              <c:f>DATA!$AK$14:$AM$14</c:f>
              <c:numCache>
                <c:formatCode>"₹"\ #,##0.00</c:formatCode>
                <c:ptCount val="3"/>
                <c:pt idx="0">
                  <c:v>2709.0160000000001</c:v>
                </c:pt>
                <c:pt idx="1">
                  <c:v>2854.7080000000001</c:v>
                </c:pt>
                <c:pt idx="2">
                  <c:v>2571.576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2C-4B28-A614-E85E33DC722A}"/>
            </c:ext>
          </c:extLst>
        </c:ser>
        <c:ser>
          <c:idx val="1"/>
          <c:order val="1"/>
          <c:tx>
            <c:v>Pre Revenue</c:v>
          </c:tx>
          <c:spPr>
            <a:solidFill>
              <a:schemeClr val="accent5">
                <a:tint val="77000"/>
              </a:schemeClr>
            </a:solidFill>
            <a:ln>
              <a:solidFill>
                <a:schemeClr val="accent5">
                  <a:tint val="77000"/>
                  <a:lumMod val="75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5">
                  <a:tint val="77000"/>
                  <a:lumMod val="75000"/>
                </a:schemeClr>
              </a:contourClr>
            </a:sp3d>
          </c:spPr>
          <c:invertIfNegative val="0"/>
          <c:cat>
            <c:strRef>
              <c:f>DATA!$AK$7:$AM$7</c:f>
              <c:strCache>
                <c:ptCount val="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</c:strCache>
            </c:strRef>
          </c:cat>
          <c:val>
            <c:numRef>
              <c:f>DATA!$AN$14:$AP$14</c:f>
              <c:numCache>
                <c:formatCode>"₹"\ #,##0.00</c:formatCode>
                <c:ptCount val="3"/>
                <c:pt idx="0">
                  <c:v>2440</c:v>
                </c:pt>
                <c:pt idx="1">
                  <c:v>2620</c:v>
                </c:pt>
                <c:pt idx="2">
                  <c:v>2298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2C-4B28-A614-E85E33DC7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9890528"/>
        <c:axId val="149891488"/>
        <c:axId val="0"/>
      </c:bar3DChart>
      <c:catAx>
        <c:axId val="14989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91488"/>
        <c:crosses val="autoZero"/>
        <c:auto val="1"/>
        <c:lblAlgn val="ctr"/>
        <c:lblOffset val="100"/>
        <c:noMultiLvlLbl val="0"/>
      </c:catAx>
      <c:valAx>
        <c:axId val="14989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9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baseline="0">
                <a:solidFill>
                  <a:srgbClr val="757575"/>
                </a:solidFill>
                <a:latin typeface="+mn-lt"/>
              </a:rPr>
              <a:t>Customer Acquisition costs comp. to prev.year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>
                <a:solidFill>
                  <a:sysClr val="windowText" lastClr="000000">
                    <a:lumMod val="75000"/>
                    <a:lumOff val="25000"/>
                  </a:sysClr>
                </a:solidFill>
              </a:defRPr>
            </a:pPr>
            <a:endParaRPr lang="en-IN" sz="1400" b="1" i="0" u="none" strike="noStrike" kern="1200" baseline="0">
              <a:solidFill>
                <a:srgbClr val="757575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2762755915783058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Current (Customers AC)</c:v>
          </c:tx>
          <c:spPr>
            <a:solidFill>
              <a:schemeClr val="accent6">
                <a:tint val="77000"/>
                <a:alpha val="85000"/>
              </a:schemeClr>
            </a:solidFill>
            <a:ln w="9525" cap="flat" cmpd="sng" algn="ctr">
              <a:solidFill>
                <a:schemeClr val="accent6">
                  <a:tint val="770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6">
                  <a:tint val="77000"/>
                  <a:lumMod val="75000"/>
                </a:schemeClr>
              </a:contourClr>
            </a:sp3d>
          </c:spPr>
          <c:invertIfNegative val="0"/>
          <c:cat>
            <c:strRef>
              <c:f>DATA!$AH$7:$AJ$7</c:f>
              <c:strCache>
                <c:ptCount val="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</c:strCache>
            </c:strRef>
          </c:cat>
          <c:val>
            <c:numRef>
              <c:f>DATA!$AB$14:$AD$14</c:f>
              <c:numCache>
                <c:formatCode>"₹"\ #,##0.00</c:formatCode>
                <c:ptCount val="3"/>
                <c:pt idx="0">
                  <c:v>393.82</c:v>
                </c:pt>
                <c:pt idx="1">
                  <c:v>363.63599999999997</c:v>
                </c:pt>
                <c:pt idx="2">
                  <c:v>328.68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16-45EE-B2E6-571DE53CB3F7}"/>
            </c:ext>
          </c:extLst>
        </c:ser>
        <c:ser>
          <c:idx val="1"/>
          <c:order val="1"/>
          <c:tx>
            <c:v>Customers Aquis Cost (Per)</c:v>
          </c:tx>
          <c:spPr>
            <a:solidFill>
              <a:schemeClr val="accent6">
                <a:shade val="76000"/>
                <a:alpha val="85000"/>
              </a:schemeClr>
            </a:solidFill>
            <a:ln w="9525" cap="flat" cmpd="sng" algn="ctr">
              <a:solidFill>
                <a:schemeClr val="accent6">
                  <a:shade val="76000"/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76000"/>
                  <a:lumMod val="75000"/>
                </a:schemeClr>
              </a:contourClr>
            </a:sp3d>
          </c:spPr>
          <c:invertIfNegative val="0"/>
          <c:cat>
            <c:strRef>
              <c:f>DATA!$AH$7:$AJ$7</c:f>
              <c:strCache>
                <c:ptCount val="3"/>
                <c:pt idx="0">
                  <c:v>July</c:v>
                </c:pt>
                <c:pt idx="1">
                  <c:v>August</c:v>
                </c:pt>
                <c:pt idx="2">
                  <c:v>September</c:v>
                </c:pt>
              </c:strCache>
            </c:strRef>
          </c:cat>
          <c:val>
            <c:numRef>
              <c:f>DATA!$AH$14:$AJ$14</c:f>
              <c:numCache>
                <c:formatCode>"₹"\ #,##0.00</c:formatCode>
                <c:ptCount val="3"/>
                <c:pt idx="0">
                  <c:v>387</c:v>
                </c:pt>
                <c:pt idx="1">
                  <c:v>371</c:v>
                </c:pt>
                <c:pt idx="2">
                  <c:v>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16-45EE-B2E6-571DE53CB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49926528"/>
        <c:axId val="149915008"/>
        <c:axId val="0"/>
      </c:bar3DChart>
      <c:catAx>
        <c:axId val="14992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15008"/>
        <c:crosses val="autoZero"/>
        <c:auto val="1"/>
        <c:lblAlgn val="ctr"/>
        <c:lblOffset val="100"/>
        <c:noMultiLvlLbl val="0"/>
      </c:catAx>
      <c:valAx>
        <c:axId val="14991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26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297180</xdr:colOff>
      <xdr:row>4</xdr:row>
      <xdr:rowOff>0</xdr:rowOff>
    </xdr:from>
    <xdr:to>
      <xdr:col>12</xdr:col>
      <xdr:colOff>601980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EB63ED-FC63-2E89-3641-ED69BFA25F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287209</xdr:colOff>
      <xdr:row>4</xdr:row>
      <xdr:rowOff>36234</xdr:rowOff>
    </xdr:from>
    <xdr:to>
      <xdr:col>25</xdr:col>
      <xdr:colOff>592009</xdr:colOff>
      <xdr:row>18</xdr:row>
      <xdr:rowOff>186446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69087B6B-EF7C-2B99-5A31-0FA0F11C75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313151</xdr:colOff>
      <xdr:row>25</xdr:row>
      <xdr:rowOff>28582</xdr:rowOff>
    </xdr:from>
    <xdr:to>
      <xdr:col>12</xdr:col>
      <xdr:colOff>584231</xdr:colOff>
      <xdr:row>41</xdr:row>
      <xdr:rowOff>110836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4099F460-D312-DB1B-0931-B41153B39D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199868</xdr:colOff>
      <xdr:row>25</xdr:row>
      <xdr:rowOff>68386</xdr:rowOff>
    </xdr:from>
    <xdr:to>
      <xdr:col>25</xdr:col>
      <xdr:colOff>521337</xdr:colOff>
      <xdr:row>41</xdr:row>
      <xdr:rowOff>179786</xdr:rowOff>
    </xdr:to>
    <xdr:graphicFrame macro="">
      <xdr:nvGraphicFramePr>
        <xdr:cNvPr id="5" name="Chart 6">
          <a:extLst>
            <a:ext uri="{FF2B5EF4-FFF2-40B4-BE49-F238E27FC236}">
              <a16:creationId xmlns:a16="http://schemas.microsoft.com/office/drawing/2014/main" id="{81F6AADE-4EDD-F173-A623-1A734BE7F1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22755-BEF6-410E-84D4-BDDF65377748}">
  <dimension ref="B1:CL62"/>
  <sheetViews>
    <sheetView showGridLines="0" topLeftCell="A2" zoomScale="67" zoomScaleNormal="98" workbookViewId="0">
      <selection activeCell="F4" sqref="F4:I5"/>
    </sheetView>
  </sheetViews>
  <sheetFormatPr defaultRowHeight="14.4" x14ac:dyDescent="0.3"/>
  <cols>
    <col min="3" max="3" width="38.109375" bestFit="1" customWidth="1"/>
    <col min="4" max="4" width="18" bestFit="1" customWidth="1"/>
    <col min="5" max="6" width="17.88671875" bestFit="1" customWidth="1"/>
    <col min="7" max="9" width="18" bestFit="1" customWidth="1"/>
    <col min="10" max="12" width="25.5546875" bestFit="1" customWidth="1"/>
    <col min="13" max="15" width="24.33203125" bestFit="1" customWidth="1"/>
    <col min="16" max="18" width="37.88671875" bestFit="1" customWidth="1"/>
    <col min="19" max="21" width="29.5546875" bestFit="1" customWidth="1"/>
    <col min="22" max="24" width="45.33203125" bestFit="1" customWidth="1"/>
    <col min="25" max="27" width="28.88671875" bestFit="1" customWidth="1"/>
    <col min="28" max="30" width="30.33203125" bestFit="1" customWidth="1"/>
    <col min="31" max="33" width="37.5546875" bestFit="1" customWidth="1"/>
    <col min="34" max="36" width="43.109375" bestFit="1" customWidth="1"/>
    <col min="37" max="39" width="25.44140625" bestFit="1" customWidth="1"/>
    <col min="40" max="42" width="28.44140625" bestFit="1" customWidth="1"/>
    <col min="43" max="45" width="32.6640625" bestFit="1" customWidth="1"/>
  </cols>
  <sheetData>
    <row r="1" spans="2:90" ht="18" x14ac:dyDescent="0.35">
      <c r="CL1" s="15" t="s">
        <v>41</v>
      </c>
    </row>
    <row r="2" spans="2:90" x14ac:dyDescent="0.3">
      <c r="CL2" s="16" t="s">
        <v>1</v>
      </c>
    </row>
    <row r="3" spans="2:90" x14ac:dyDescent="0.3">
      <c r="CL3" s="16" t="s">
        <v>25</v>
      </c>
    </row>
    <row r="4" spans="2:90" ht="14.4" customHeight="1" x14ac:dyDescent="0.45">
      <c r="C4" s="43"/>
      <c r="D4" s="43"/>
      <c r="E4" s="43"/>
      <c r="F4" s="77" t="s">
        <v>50</v>
      </c>
      <c r="G4" s="77"/>
      <c r="H4" s="77"/>
      <c r="I4" s="77"/>
      <c r="CL4" s="16" t="s">
        <v>29</v>
      </c>
    </row>
    <row r="5" spans="2:90" ht="14.4" customHeight="1" x14ac:dyDescent="0.45">
      <c r="C5" s="43"/>
      <c r="D5" s="43"/>
      <c r="E5" s="43"/>
      <c r="F5" s="77"/>
      <c r="G5" s="77"/>
      <c r="H5" s="77"/>
      <c r="I5" s="77"/>
      <c r="CL5" s="16" t="s">
        <v>33</v>
      </c>
    </row>
    <row r="6" spans="2:90" ht="15" thickBot="1" x14ac:dyDescent="0.35"/>
    <row r="7" spans="2:90" ht="15" customHeight="1" x14ac:dyDescent="0.3">
      <c r="C7" s="63" t="s">
        <v>0</v>
      </c>
      <c r="D7" s="30" t="str" cm="1">
        <f t="array" ref="D7:AS14">_xlfn.SWITCH(DASHBOARD!M1,CL2,D25:AS32,CL3,D35:AS42,CL4,D45:AS52,CL5,D55:AS62)</f>
        <v>July</v>
      </c>
      <c r="E7" s="31" t="str">
        <v>August</v>
      </c>
      <c r="F7" s="32" t="str">
        <v>September</v>
      </c>
      <c r="G7" s="30" t="str">
        <v>July</v>
      </c>
      <c r="H7" s="31" t="str">
        <v>August</v>
      </c>
      <c r="I7" s="32" t="str">
        <v>September</v>
      </c>
      <c r="J7" s="30" t="str">
        <v>July</v>
      </c>
      <c r="K7" s="31" t="str">
        <v>August</v>
      </c>
      <c r="L7" s="32" t="str">
        <v>September</v>
      </c>
      <c r="M7" s="30" t="str">
        <v>July</v>
      </c>
      <c r="N7" s="31" t="str">
        <v>August</v>
      </c>
      <c r="O7" s="32" t="str">
        <v>September</v>
      </c>
      <c r="P7" s="30" t="str">
        <v>July</v>
      </c>
      <c r="Q7" s="31" t="str">
        <v>August</v>
      </c>
      <c r="R7" s="32" t="str">
        <v>September</v>
      </c>
      <c r="S7" s="30" t="str">
        <v>July</v>
      </c>
      <c r="T7" s="31" t="str">
        <v>August</v>
      </c>
      <c r="U7" s="32" t="str">
        <v>September</v>
      </c>
      <c r="V7" s="30" t="str">
        <v>July</v>
      </c>
      <c r="W7" s="31" t="str">
        <v>August</v>
      </c>
      <c r="X7" s="32" t="str">
        <v>September</v>
      </c>
      <c r="Y7" s="30" t="str">
        <v>July</v>
      </c>
      <c r="Z7" s="31" t="str">
        <v>August</v>
      </c>
      <c r="AA7" s="32" t="str">
        <v>September</v>
      </c>
      <c r="AB7" s="30" t="str">
        <v>July</v>
      </c>
      <c r="AC7" s="31" t="str">
        <v>August</v>
      </c>
      <c r="AD7" s="32" t="str">
        <v>September</v>
      </c>
      <c r="AE7" s="30" t="str">
        <v>July</v>
      </c>
      <c r="AF7" s="31" t="str">
        <v>August</v>
      </c>
      <c r="AG7" s="32" t="str">
        <v>September</v>
      </c>
      <c r="AH7" s="30" t="str">
        <v>July</v>
      </c>
      <c r="AI7" s="31" t="str">
        <v>August</v>
      </c>
      <c r="AJ7" s="32" t="str">
        <v>September</v>
      </c>
      <c r="AK7" s="30" t="str">
        <v>July</v>
      </c>
      <c r="AL7" s="31" t="str">
        <v>August</v>
      </c>
      <c r="AM7" s="32" t="str">
        <v>September</v>
      </c>
      <c r="AN7" s="30" t="str">
        <v>July</v>
      </c>
      <c r="AO7" s="31" t="str">
        <v>August</v>
      </c>
      <c r="AP7" s="32" t="str">
        <v>September</v>
      </c>
      <c r="AQ7" s="30" t="str">
        <v>July</v>
      </c>
      <c r="AR7" s="31" t="str">
        <v>August</v>
      </c>
      <c r="AS7" s="32" t="str">
        <v>September</v>
      </c>
      <c r="AT7" s="29"/>
    </row>
    <row r="8" spans="2:90" ht="15.6" customHeight="1" thickBot="1" x14ac:dyDescent="0.35">
      <c r="C8" s="64"/>
      <c r="D8" s="33" t="str">
        <v>Revenue</v>
      </c>
      <c r="E8" s="24" t="str">
        <v>Revenue</v>
      </c>
      <c r="F8" s="34" t="str">
        <v>Revenue</v>
      </c>
      <c r="G8" s="33" t="str">
        <v>Target Revenue</v>
      </c>
      <c r="H8" s="24" t="str">
        <v>Target Revenue</v>
      </c>
      <c r="I8" s="34" t="str">
        <v>Target Revenue</v>
      </c>
      <c r="J8" s="33" t="str">
        <v>Previous Year
Revenue</v>
      </c>
      <c r="K8" s="24" t="str">
        <v>Previous Year
Revenue</v>
      </c>
      <c r="L8" s="34" t="str">
        <v>Previous Year
Revenue</v>
      </c>
      <c r="M8" s="33" t="str">
        <v>Number of
Customers</v>
      </c>
      <c r="N8" s="24" t="str">
        <v>Number of
Customers</v>
      </c>
      <c r="O8" s="34" t="str">
        <v>Number of
Customers</v>
      </c>
      <c r="P8" s="33" t="str">
        <v>Number of
New Customers
Target</v>
      </c>
      <c r="Q8" s="24" t="str">
        <v>Number of
New Customers
Target</v>
      </c>
      <c r="R8" s="34" t="str">
        <v>Number of
New Customers
Target</v>
      </c>
      <c r="S8" s="33" t="str">
        <v>Number of
New Customers</v>
      </c>
      <c r="T8" s="24" t="str">
        <v>Number of
New Customers</v>
      </c>
      <c r="U8" s="34" t="str">
        <v>Number of
New Customers</v>
      </c>
      <c r="V8" s="33" t="str">
        <v>Number of
New Customers
Previous Year</v>
      </c>
      <c r="W8" s="24" t="str">
        <v>Number of
New Customers
Previous Year</v>
      </c>
      <c r="X8" s="34" t="str">
        <v>Number of
New Customers
Previous Year</v>
      </c>
      <c r="Y8" s="33" t="str">
        <v>Customer Acquisition Costs</v>
      </c>
      <c r="Z8" s="24" t="str">
        <v>Customer Acquisition Costs</v>
      </c>
      <c r="AA8" s="34" t="str">
        <v>Customer Acquisition Costs</v>
      </c>
      <c r="AB8" s="33" t="str">
        <v>Customer AC (per customer)</v>
      </c>
      <c r="AC8" s="24" t="str">
        <v>Customer AC (per customer)</v>
      </c>
      <c r="AD8" s="34" t="str">
        <v>Customer AC (per customer)</v>
      </c>
      <c r="AE8" s="33" t="str">
        <v>Customer AC (per customer) Target</v>
      </c>
      <c r="AF8" s="24" t="str">
        <v>Customer AC (per customer) Target</v>
      </c>
      <c r="AG8" s="34" t="str">
        <v>Customer AC (per customer) Target</v>
      </c>
      <c r="AH8" s="33" t="str">
        <v>Customer Aquis. Costs (per customer) PY</v>
      </c>
      <c r="AI8" s="24" t="str">
        <v>Customer Aquis. Costs (per customer) PY</v>
      </c>
      <c r="AJ8" s="34" t="str">
        <v>Customer Aquis. Costs (per customer) PY</v>
      </c>
      <c r="AK8" s="33" t="str">
        <v>Revenue per
Customer</v>
      </c>
      <c r="AL8" s="24" t="str">
        <v>Revenue per
Customer</v>
      </c>
      <c r="AM8" s="34" t="str">
        <v>Revenue per
Customer</v>
      </c>
      <c r="AN8" s="33" t="str">
        <v>Revenue per
Customer PY</v>
      </c>
      <c r="AO8" s="24" t="str">
        <v>Revenue per
Customer PY</v>
      </c>
      <c r="AP8" s="34" t="str">
        <v>Revenue per
Customer PY</v>
      </c>
      <c r="AQ8" s="33" t="str">
        <v>Target Revenue
per Customer</v>
      </c>
      <c r="AR8" s="24" t="str">
        <v>Target Revenue
per Customer</v>
      </c>
      <c r="AS8" s="34" t="str">
        <v>Target Revenue
per Customer</v>
      </c>
      <c r="AT8" s="29"/>
    </row>
    <row r="9" spans="2:90" ht="18" thickBot="1" x14ac:dyDescent="0.35">
      <c r="C9" s="25" t="s">
        <v>19</v>
      </c>
      <c r="D9" s="35">
        <v>150000</v>
      </c>
      <c r="E9" s="27">
        <v>145000</v>
      </c>
      <c r="F9" s="36">
        <v>145000</v>
      </c>
      <c r="G9" s="35">
        <v>160000</v>
      </c>
      <c r="H9" s="27">
        <v>145000</v>
      </c>
      <c r="I9" s="36">
        <v>160000</v>
      </c>
      <c r="J9" s="35">
        <v>160000</v>
      </c>
      <c r="K9" s="27">
        <v>125000</v>
      </c>
      <c r="L9" s="36">
        <v>145000</v>
      </c>
      <c r="M9" s="35">
        <v>55</v>
      </c>
      <c r="N9" s="27">
        <v>55</v>
      </c>
      <c r="O9" s="36">
        <v>60</v>
      </c>
      <c r="P9" s="35">
        <v>20</v>
      </c>
      <c r="Q9" s="27">
        <v>25</v>
      </c>
      <c r="R9" s="36">
        <v>35</v>
      </c>
      <c r="S9" s="35">
        <v>14</v>
      </c>
      <c r="T9" s="27">
        <v>18</v>
      </c>
      <c r="U9" s="36">
        <v>17</v>
      </c>
      <c r="V9" s="35">
        <v>21</v>
      </c>
      <c r="W9" s="27">
        <v>15</v>
      </c>
      <c r="X9" s="36">
        <v>11</v>
      </c>
      <c r="Y9" s="35">
        <v>8000</v>
      </c>
      <c r="Z9" s="27">
        <v>6000</v>
      </c>
      <c r="AA9" s="36">
        <v>4000</v>
      </c>
      <c r="AB9" s="35">
        <v>571.42999999999995</v>
      </c>
      <c r="AC9" s="27">
        <v>333.33</v>
      </c>
      <c r="AD9" s="36">
        <v>235.29</v>
      </c>
      <c r="AE9" s="35">
        <v>350</v>
      </c>
      <c r="AF9" s="27">
        <v>450</v>
      </c>
      <c r="AG9" s="36">
        <v>350</v>
      </c>
      <c r="AH9" s="35">
        <v>400</v>
      </c>
      <c r="AI9" s="27">
        <v>385</v>
      </c>
      <c r="AJ9" s="36">
        <v>390</v>
      </c>
      <c r="AK9" s="35">
        <v>2909.09</v>
      </c>
      <c r="AL9" s="27">
        <v>2636.36</v>
      </c>
      <c r="AM9" s="36">
        <v>2416.67</v>
      </c>
      <c r="AN9" s="35">
        <v>2800</v>
      </c>
      <c r="AO9" s="27">
        <v>2500</v>
      </c>
      <c r="AP9" s="36">
        <v>2300</v>
      </c>
      <c r="AQ9" s="35">
        <v>2200</v>
      </c>
      <c r="AR9" s="27">
        <v>2300</v>
      </c>
      <c r="AS9" s="36">
        <v>2500</v>
      </c>
      <c r="AT9" s="12"/>
    </row>
    <row r="10" spans="2:90" ht="18" thickBot="1" x14ac:dyDescent="0.35">
      <c r="C10" s="25" t="s">
        <v>20</v>
      </c>
      <c r="D10" s="37">
        <v>185000</v>
      </c>
      <c r="E10" s="28">
        <v>150000</v>
      </c>
      <c r="F10" s="38">
        <v>185000</v>
      </c>
      <c r="G10" s="37">
        <v>160000</v>
      </c>
      <c r="H10" s="28">
        <v>145000</v>
      </c>
      <c r="I10" s="38">
        <v>160000</v>
      </c>
      <c r="J10" s="37">
        <v>125000</v>
      </c>
      <c r="K10" s="28">
        <v>130000</v>
      </c>
      <c r="L10" s="38">
        <v>120000</v>
      </c>
      <c r="M10" s="37">
        <v>56</v>
      </c>
      <c r="N10" s="28">
        <v>45</v>
      </c>
      <c r="O10" s="38">
        <v>65</v>
      </c>
      <c r="P10" s="37">
        <v>20</v>
      </c>
      <c r="Q10" s="28">
        <v>25</v>
      </c>
      <c r="R10" s="38">
        <v>35</v>
      </c>
      <c r="S10" s="37">
        <v>15</v>
      </c>
      <c r="T10" s="28">
        <v>25</v>
      </c>
      <c r="U10" s="38">
        <v>25</v>
      </c>
      <c r="V10" s="37">
        <v>14</v>
      </c>
      <c r="W10" s="28">
        <v>22</v>
      </c>
      <c r="X10" s="38">
        <v>12</v>
      </c>
      <c r="Y10" s="37">
        <v>5500</v>
      </c>
      <c r="Z10" s="28">
        <v>8500</v>
      </c>
      <c r="AA10" s="38">
        <v>5000</v>
      </c>
      <c r="AB10" s="37">
        <v>366.67</v>
      </c>
      <c r="AC10" s="28">
        <v>340</v>
      </c>
      <c r="AD10" s="38">
        <v>200</v>
      </c>
      <c r="AE10" s="37">
        <v>350</v>
      </c>
      <c r="AF10" s="28">
        <v>450</v>
      </c>
      <c r="AG10" s="38">
        <v>350</v>
      </c>
      <c r="AH10" s="37">
        <v>380</v>
      </c>
      <c r="AI10" s="28">
        <v>400</v>
      </c>
      <c r="AJ10" s="38">
        <v>388</v>
      </c>
      <c r="AK10" s="37">
        <v>3303.57</v>
      </c>
      <c r="AL10" s="28">
        <v>3333.33</v>
      </c>
      <c r="AM10" s="38">
        <v>2846.15</v>
      </c>
      <c r="AN10" s="37">
        <v>2500</v>
      </c>
      <c r="AO10" s="28">
        <v>3000</v>
      </c>
      <c r="AP10" s="38">
        <v>2000</v>
      </c>
      <c r="AQ10" s="37">
        <v>2200</v>
      </c>
      <c r="AR10" s="28">
        <v>2300</v>
      </c>
      <c r="AS10" s="38">
        <v>2500</v>
      </c>
      <c r="AT10" s="12"/>
    </row>
    <row r="11" spans="2:90" ht="18" thickBot="1" x14ac:dyDescent="0.35">
      <c r="C11" s="25" t="s">
        <v>21</v>
      </c>
      <c r="D11" s="37">
        <v>150000</v>
      </c>
      <c r="E11" s="28">
        <v>125000</v>
      </c>
      <c r="F11" s="38">
        <v>120000</v>
      </c>
      <c r="G11" s="37">
        <v>160000</v>
      </c>
      <c r="H11" s="28">
        <v>145000</v>
      </c>
      <c r="I11" s="38">
        <v>160000</v>
      </c>
      <c r="J11" s="37">
        <v>130000</v>
      </c>
      <c r="K11" s="28">
        <v>150000</v>
      </c>
      <c r="L11" s="38">
        <v>125000</v>
      </c>
      <c r="M11" s="37">
        <v>56</v>
      </c>
      <c r="N11" s="28">
        <v>65</v>
      </c>
      <c r="O11" s="38">
        <v>50</v>
      </c>
      <c r="P11" s="37">
        <v>20</v>
      </c>
      <c r="Q11" s="28">
        <v>25</v>
      </c>
      <c r="R11" s="38">
        <v>35</v>
      </c>
      <c r="S11" s="37">
        <v>22</v>
      </c>
      <c r="T11" s="28">
        <v>17</v>
      </c>
      <c r="U11" s="38">
        <v>17</v>
      </c>
      <c r="V11" s="37">
        <v>25</v>
      </c>
      <c r="W11" s="28">
        <v>17</v>
      </c>
      <c r="X11" s="38">
        <v>21</v>
      </c>
      <c r="Y11" s="37">
        <v>9000</v>
      </c>
      <c r="Z11" s="28">
        <v>6500</v>
      </c>
      <c r="AA11" s="38">
        <v>6500</v>
      </c>
      <c r="AB11" s="37">
        <v>409.09</v>
      </c>
      <c r="AC11" s="28">
        <v>382.35</v>
      </c>
      <c r="AD11" s="38">
        <v>382.35</v>
      </c>
      <c r="AE11" s="37">
        <v>350</v>
      </c>
      <c r="AF11" s="28">
        <v>450</v>
      </c>
      <c r="AG11" s="38">
        <v>350</v>
      </c>
      <c r="AH11" s="37">
        <v>365</v>
      </c>
      <c r="AI11" s="28">
        <v>350</v>
      </c>
      <c r="AJ11" s="38">
        <v>352</v>
      </c>
      <c r="AK11" s="37">
        <v>2678.57</v>
      </c>
      <c r="AL11" s="28">
        <v>1923.08</v>
      </c>
      <c r="AM11" s="38">
        <v>2400</v>
      </c>
      <c r="AN11" s="37">
        <v>2600</v>
      </c>
      <c r="AO11" s="28">
        <v>1800</v>
      </c>
      <c r="AP11" s="38">
        <v>2200</v>
      </c>
      <c r="AQ11" s="37">
        <v>2200</v>
      </c>
      <c r="AR11" s="28">
        <v>2300</v>
      </c>
      <c r="AS11" s="38">
        <v>2500</v>
      </c>
      <c r="AT11" s="12"/>
    </row>
    <row r="12" spans="2:90" ht="18" thickBot="1" x14ac:dyDescent="0.35">
      <c r="C12" s="25" t="s">
        <v>22</v>
      </c>
      <c r="D12" s="37">
        <v>155000</v>
      </c>
      <c r="E12" s="28">
        <v>155000</v>
      </c>
      <c r="F12" s="38">
        <v>155000</v>
      </c>
      <c r="G12" s="37">
        <v>160000</v>
      </c>
      <c r="H12" s="28">
        <v>145000</v>
      </c>
      <c r="I12" s="38">
        <v>160000</v>
      </c>
      <c r="J12" s="37">
        <v>150000</v>
      </c>
      <c r="K12" s="28">
        <v>155000</v>
      </c>
      <c r="L12" s="38">
        <v>160000</v>
      </c>
      <c r="M12" s="37">
        <v>62</v>
      </c>
      <c r="N12" s="28">
        <v>52</v>
      </c>
      <c r="O12" s="38">
        <v>52</v>
      </c>
      <c r="P12" s="37">
        <v>20</v>
      </c>
      <c r="Q12" s="28">
        <v>25</v>
      </c>
      <c r="R12" s="38">
        <v>35</v>
      </c>
      <c r="S12" s="37">
        <v>21</v>
      </c>
      <c r="T12" s="28">
        <v>24</v>
      </c>
      <c r="U12" s="38">
        <v>22</v>
      </c>
      <c r="V12" s="37">
        <v>17</v>
      </c>
      <c r="W12" s="28">
        <v>16</v>
      </c>
      <c r="X12" s="38">
        <v>23</v>
      </c>
      <c r="Y12" s="37">
        <v>6200</v>
      </c>
      <c r="Z12" s="28">
        <v>6300</v>
      </c>
      <c r="AA12" s="38">
        <v>9000</v>
      </c>
      <c r="AB12" s="37">
        <v>295.24</v>
      </c>
      <c r="AC12" s="28">
        <v>262.5</v>
      </c>
      <c r="AD12" s="38">
        <v>409.09</v>
      </c>
      <c r="AE12" s="37">
        <v>350</v>
      </c>
      <c r="AF12" s="28">
        <v>450</v>
      </c>
      <c r="AG12" s="38">
        <v>350</v>
      </c>
      <c r="AH12" s="37">
        <v>405</v>
      </c>
      <c r="AI12" s="28">
        <v>370</v>
      </c>
      <c r="AJ12" s="38">
        <v>350</v>
      </c>
      <c r="AK12" s="37">
        <v>2500</v>
      </c>
      <c r="AL12" s="28">
        <v>2980.77</v>
      </c>
      <c r="AM12" s="38">
        <v>2980.77</v>
      </c>
      <c r="AN12" s="37">
        <v>2400</v>
      </c>
      <c r="AO12" s="28">
        <v>2800</v>
      </c>
      <c r="AP12" s="38">
        <v>2890</v>
      </c>
      <c r="AQ12" s="37">
        <v>2200</v>
      </c>
      <c r="AR12" s="28">
        <v>2300</v>
      </c>
      <c r="AS12" s="38">
        <v>2500</v>
      </c>
      <c r="AT12" s="12"/>
    </row>
    <row r="13" spans="2:90" ht="18" thickBot="1" x14ac:dyDescent="0.35">
      <c r="C13" s="25" t="s">
        <v>23</v>
      </c>
      <c r="D13" s="37">
        <v>140000</v>
      </c>
      <c r="E13" s="28">
        <v>170000</v>
      </c>
      <c r="F13" s="38">
        <v>155000</v>
      </c>
      <c r="G13" s="37">
        <v>160000</v>
      </c>
      <c r="H13" s="28">
        <v>145000</v>
      </c>
      <c r="I13" s="38">
        <v>160000</v>
      </c>
      <c r="J13" s="37">
        <v>150000</v>
      </c>
      <c r="K13" s="28">
        <v>180000</v>
      </c>
      <c r="L13" s="38">
        <v>140000</v>
      </c>
      <c r="M13" s="37">
        <v>65</v>
      </c>
      <c r="N13" s="28">
        <v>50</v>
      </c>
      <c r="O13" s="38">
        <v>70</v>
      </c>
      <c r="P13" s="37">
        <v>20</v>
      </c>
      <c r="Q13" s="28">
        <v>25</v>
      </c>
      <c r="R13" s="38">
        <v>35</v>
      </c>
      <c r="S13" s="37">
        <v>30</v>
      </c>
      <c r="T13" s="28">
        <v>16</v>
      </c>
      <c r="U13" s="38">
        <v>18</v>
      </c>
      <c r="V13" s="37">
        <v>25</v>
      </c>
      <c r="W13" s="28">
        <v>21</v>
      </c>
      <c r="X13" s="38">
        <v>20</v>
      </c>
      <c r="Y13" s="37">
        <v>9800</v>
      </c>
      <c r="Z13" s="28">
        <v>8000</v>
      </c>
      <c r="AA13" s="38">
        <v>7500</v>
      </c>
      <c r="AB13" s="37">
        <v>326.67</v>
      </c>
      <c r="AC13" s="28">
        <v>500</v>
      </c>
      <c r="AD13" s="38">
        <v>416.67</v>
      </c>
      <c r="AE13" s="37">
        <v>350</v>
      </c>
      <c r="AF13" s="28">
        <v>450</v>
      </c>
      <c r="AG13" s="38">
        <v>350</v>
      </c>
      <c r="AH13" s="37">
        <v>385</v>
      </c>
      <c r="AI13" s="28">
        <v>350</v>
      </c>
      <c r="AJ13" s="38">
        <v>410</v>
      </c>
      <c r="AK13" s="37">
        <v>2153.85</v>
      </c>
      <c r="AL13" s="28">
        <v>3400</v>
      </c>
      <c r="AM13" s="38">
        <v>2214.29</v>
      </c>
      <c r="AN13" s="37">
        <v>1900</v>
      </c>
      <c r="AO13" s="28">
        <v>3000</v>
      </c>
      <c r="AP13" s="38">
        <v>2100</v>
      </c>
      <c r="AQ13" s="37">
        <v>2200</v>
      </c>
      <c r="AR13" s="28">
        <v>2300</v>
      </c>
      <c r="AS13" s="38">
        <v>2500</v>
      </c>
      <c r="AT13" s="12"/>
    </row>
    <row r="14" spans="2:90" ht="18" thickBot="1" x14ac:dyDescent="0.35">
      <c r="C14" s="26" t="s">
        <v>24</v>
      </c>
      <c r="D14" s="39">
        <v>780000</v>
      </c>
      <c r="E14" s="39">
        <v>745000</v>
      </c>
      <c r="F14" s="39">
        <v>760000</v>
      </c>
      <c r="G14" s="39">
        <v>800000</v>
      </c>
      <c r="H14" s="39">
        <v>725000</v>
      </c>
      <c r="I14" s="39">
        <v>800000</v>
      </c>
      <c r="J14" s="39">
        <v>715000</v>
      </c>
      <c r="K14" s="39">
        <v>740000</v>
      </c>
      <c r="L14" s="39">
        <v>690000</v>
      </c>
      <c r="M14" s="39">
        <v>294</v>
      </c>
      <c r="N14" s="39">
        <v>267</v>
      </c>
      <c r="O14" s="39">
        <v>297</v>
      </c>
      <c r="P14" s="39">
        <v>100</v>
      </c>
      <c r="Q14" s="39">
        <v>125</v>
      </c>
      <c r="R14" s="39">
        <v>175</v>
      </c>
      <c r="S14" s="39">
        <v>102</v>
      </c>
      <c r="T14" s="39">
        <v>100</v>
      </c>
      <c r="U14" s="39">
        <v>99</v>
      </c>
      <c r="V14" s="39">
        <v>102</v>
      </c>
      <c r="W14" s="39">
        <v>91</v>
      </c>
      <c r="X14" s="39">
        <v>87</v>
      </c>
      <c r="Y14" s="39">
        <v>38500</v>
      </c>
      <c r="Z14" s="39">
        <v>35300</v>
      </c>
      <c r="AA14" s="39">
        <v>32000</v>
      </c>
      <c r="AB14" s="39">
        <v>393.82</v>
      </c>
      <c r="AC14" s="39">
        <v>363.63599999999997</v>
      </c>
      <c r="AD14" s="39">
        <v>328.68</v>
      </c>
      <c r="AE14" s="39">
        <v>350</v>
      </c>
      <c r="AF14" s="39">
        <v>450</v>
      </c>
      <c r="AG14" s="39">
        <v>350</v>
      </c>
      <c r="AH14" s="39">
        <v>387</v>
      </c>
      <c r="AI14" s="39">
        <v>371</v>
      </c>
      <c r="AJ14" s="39">
        <v>378</v>
      </c>
      <c r="AK14" s="39">
        <v>2709.0160000000001</v>
      </c>
      <c r="AL14" s="39">
        <v>2854.7080000000001</v>
      </c>
      <c r="AM14" s="39">
        <v>2571.576</v>
      </c>
      <c r="AN14" s="39">
        <v>2440</v>
      </c>
      <c r="AO14" s="39">
        <v>2620</v>
      </c>
      <c r="AP14" s="39">
        <v>2298</v>
      </c>
      <c r="AQ14" s="39">
        <v>2200</v>
      </c>
      <c r="AR14" s="39">
        <v>2300</v>
      </c>
      <c r="AS14" s="39">
        <v>2500</v>
      </c>
      <c r="AT14" s="12"/>
    </row>
    <row r="15" spans="2:90" s="13" customFormat="1" ht="17.399999999999999" x14ac:dyDescent="0.3">
      <c r="C15" s="14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</row>
    <row r="16" spans="2:90" s="13" customFormat="1" ht="17.399999999999999" x14ac:dyDescent="0.3">
      <c r="B16"/>
      <c r="C16" s="9" t="s">
        <v>37</v>
      </c>
      <c r="D16" s="10">
        <f>SUM(D32:F32,D42:F42,D52:F52,D62:F62)</f>
        <v>9271500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</row>
    <row r="17" spans="2:46" s="13" customFormat="1" ht="17.399999999999999" x14ac:dyDescent="0.3">
      <c r="B17"/>
      <c r="C17" s="9" t="s">
        <v>38</v>
      </c>
      <c r="D17" s="10">
        <f>SUM(M32:O32,M42:O42,M52:O52,M62:O62)</f>
        <v>3799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</row>
    <row r="18" spans="2:46" s="13" customFormat="1" ht="17.399999999999999" x14ac:dyDescent="0.3">
      <c r="B18"/>
      <c r="C18" s="9" t="s">
        <v>39</v>
      </c>
      <c r="D18" s="10">
        <f>SUM(S32:U32,S42:U42,S52:U52,S62:U62)</f>
        <v>1228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</row>
    <row r="19" spans="2:46" s="13" customFormat="1" ht="17.399999999999999" x14ac:dyDescent="0.3">
      <c r="B19"/>
      <c r="C19" s="9" t="s">
        <v>40</v>
      </c>
      <c r="D19" s="11">
        <f>D16/D17</f>
        <v>2440.5106607001844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</row>
    <row r="20" spans="2:46" s="13" customFormat="1" ht="17.399999999999999" x14ac:dyDescent="0.3">
      <c r="B20"/>
      <c r="C20" s="45"/>
      <c r="D20" s="44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</row>
    <row r="21" spans="2:46" s="13" customFormat="1" ht="18" thickBot="1" x14ac:dyDescent="0.35">
      <c r="B21"/>
      <c r="C21" s="45"/>
      <c r="D21" s="4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</row>
    <row r="22" spans="2:46" s="13" customFormat="1" ht="17.399999999999999" x14ac:dyDescent="0.3">
      <c r="B22"/>
      <c r="C22" s="45"/>
      <c r="D22" s="44"/>
      <c r="E22" s="51" t="s">
        <v>51</v>
      </c>
      <c r="F22" s="52"/>
      <c r="G22" s="52"/>
      <c r="H22" s="52"/>
      <c r="I22" s="53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</row>
    <row r="23" spans="2:46" s="12" customFormat="1" ht="17.399999999999999" customHeight="1" thickBot="1" x14ac:dyDescent="0.35">
      <c r="E23" s="54"/>
      <c r="F23" s="55"/>
      <c r="G23" s="55"/>
      <c r="H23" s="55"/>
      <c r="I23" s="56"/>
    </row>
    <row r="24" spans="2:46" s="13" customFormat="1" ht="18" thickBot="1" x14ac:dyDescent="0.35">
      <c r="B24"/>
      <c r="C24" s="14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</row>
    <row r="25" spans="2:46" ht="15" customHeight="1" thickBot="1" x14ac:dyDescent="0.35">
      <c r="B25" s="61" t="s">
        <v>1</v>
      </c>
      <c r="C25" s="59" t="s">
        <v>0</v>
      </c>
      <c r="D25" s="1" t="s">
        <v>2</v>
      </c>
      <c r="E25" s="1" t="s">
        <v>3</v>
      </c>
      <c r="F25" s="2" t="s">
        <v>4</v>
      </c>
      <c r="G25" s="1" t="s">
        <v>2</v>
      </c>
      <c r="H25" s="1" t="s">
        <v>3</v>
      </c>
      <c r="I25" s="2" t="s">
        <v>4</v>
      </c>
      <c r="J25" s="1" t="s">
        <v>2</v>
      </c>
      <c r="K25" s="1" t="s">
        <v>3</v>
      </c>
      <c r="L25" s="2" t="s">
        <v>4</v>
      </c>
      <c r="M25" s="1" t="s">
        <v>2</v>
      </c>
      <c r="N25" s="1" t="s">
        <v>3</v>
      </c>
      <c r="O25" s="2" t="s">
        <v>4</v>
      </c>
      <c r="P25" s="1" t="s">
        <v>2</v>
      </c>
      <c r="Q25" s="1" t="s">
        <v>3</v>
      </c>
      <c r="R25" s="2" t="s">
        <v>4</v>
      </c>
      <c r="S25" s="1" t="s">
        <v>2</v>
      </c>
      <c r="T25" s="1" t="s">
        <v>3</v>
      </c>
      <c r="U25" s="2" t="s">
        <v>4</v>
      </c>
      <c r="V25" s="1" t="s">
        <v>2</v>
      </c>
      <c r="W25" s="1" t="s">
        <v>3</v>
      </c>
      <c r="X25" s="2" t="s">
        <v>4</v>
      </c>
      <c r="Y25" s="1" t="s">
        <v>2</v>
      </c>
      <c r="Z25" s="1" t="s">
        <v>3</v>
      </c>
      <c r="AA25" s="2" t="s">
        <v>4</v>
      </c>
      <c r="AB25" s="1" t="s">
        <v>2</v>
      </c>
      <c r="AC25" s="1" t="s">
        <v>3</v>
      </c>
      <c r="AD25" s="2" t="s">
        <v>4</v>
      </c>
      <c r="AE25" s="1" t="s">
        <v>2</v>
      </c>
      <c r="AF25" s="1" t="s">
        <v>3</v>
      </c>
      <c r="AG25" s="2" t="s">
        <v>4</v>
      </c>
      <c r="AH25" s="1" t="s">
        <v>2</v>
      </c>
      <c r="AI25" s="1" t="s">
        <v>3</v>
      </c>
      <c r="AJ25" s="2" t="s">
        <v>4</v>
      </c>
      <c r="AK25" s="1" t="s">
        <v>2</v>
      </c>
      <c r="AL25" s="1" t="s">
        <v>3</v>
      </c>
      <c r="AM25" s="2" t="s">
        <v>4</v>
      </c>
      <c r="AN25" s="1" t="s">
        <v>2</v>
      </c>
      <c r="AO25" s="1" t="s">
        <v>3</v>
      </c>
      <c r="AP25" s="2" t="s">
        <v>4</v>
      </c>
      <c r="AQ25" s="1" t="s">
        <v>2</v>
      </c>
      <c r="AR25" s="1" t="s">
        <v>3</v>
      </c>
      <c r="AS25" s="2" t="s">
        <v>4</v>
      </c>
    </row>
    <row r="26" spans="2:46" ht="15" customHeight="1" thickBot="1" x14ac:dyDescent="0.35">
      <c r="B26" s="61"/>
      <c r="C26" s="60"/>
      <c r="D26" s="3" t="s">
        <v>5</v>
      </c>
      <c r="E26" s="3" t="s">
        <v>5</v>
      </c>
      <c r="F26" s="4" t="s">
        <v>5</v>
      </c>
      <c r="G26" s="3" t="s">
        <v>6</v>
      </c>
      <c r="H26" s="3" t="s">
        <v>6</v>
      </c>
      <c r="I26" s="4" t="s">
        <v>6</v>
      </c>
      <c r="J26" s="3" t="s">
        <v>7</v>
      </c>
      <c r="K26" s="3" t="s">
        <v>7</v>
      </c>
      <c r="L26" s="4" t="s">
        <v>7</v>
      </c>
      <c r="M26" s="3" t="s">
        <v>8</v>
      </c>
      <c r="N26" s="3" t="s">
        <v>8</v>
      </c>
      <c r="O26" s="4" t="s">
        <v>8</v>
      </c>
      <c r="P26" s="3" t="s">
        <v>9</v>
      </c>
      <c r="Q26" s="3" t="s">
        <v>9</v>
      </c>
      <c r="R26" s="4" t="s">
        <v>9</v>
      </c>
      <c r="S26" s="3" t="s">
        <v>10</v>
      </c>
      <c r="T26" s="3" t="s">
        <v>10</v>
      </c>
      <c r="U26" s="4" t="s">
        <v>10</v>
      </c>
      <c r="V26" s="3" t="s">
        <v>11</v>
      </c>
      <c r="W26" s="3" t="s">
        <v>11</v>
      </c>
      <c r="X26" s="4" t="s">
        <v>11</v>
      </c>
      <c r="Y26" s="3" t="s">
        <v>12</v>
      </c>
      <c r="Z26" s="3" t="s">
        <v>12</v>
      </c>
      <c r="AA26" s="4" t="s">
        <v>12</v>
      </c>
      <c r="AB26" s="3" t="s">
        <v>13</v>
      </c>
      <c r="AC26" s="3" t="s">
        <v>13</v>
      </c>
      <c r="AD26" s="4" t="s">
        <v>13</v>
      </c>
      <c r="AE26" s="3" t="s">
        <v>14</v>
      </c>
      <c r="AF26" s="3" t="s">
        <v>14</v>
      </c>
      <c r="AG26" s="4" t="s">
        <v>14</v>
      </c>
      <c r="AH26" s="3" t="s">
        <v>15</v>
      </c>
      <c r="AI26" s="3" t="s">
        <v>15</v>
      </c>
      <c r="AJ26" s="4" t="s">
        <v>15</v>
      </c>
      <c r="AK26" s="3" t="s">
        <v>16</v>
      </c>
      <c r="AL26" s="3" t="s">
        <v>16</v>
      </c>
      <c r="AM26" s="4" t="s">
        <v>16</v>
      </c>
      <c r="AN26" s="3" t="s">
        <v>17</v>
      </c>
      <c r="AO26" s="3" t="s">
        <v>17</v>
      </c>
      <c r="AP26" s="4" t="s">
        <v>17</v>
      </c>
      <c r="AQ26" s="3" t="s">
        <v>18</v>
      </c>
      <c r="AR26" s="3" t="s">
        <v>18</v>
      </c>
      <c r="AS26" s="4" t="s">
        <v>18</v>
      </c>
    </row>
    <row r="27" spans="2:46" ht="18" thickBot="1" x14ac:dyDescent="0.35">
      <c r="B27" s="61"/>
      <c r="C27" s="5" t="s">
        <v>19</v>
      </c>
      <c r="D27" s="5">
        <v>135000</v>
      </c>
      <c r="E27" s="5">
        <v>130000</v>
      </c>
      <c r="F27" s="5">
        <v>160000</v>
      </c>
      <c r="G27" s="5">
        <v>150000</v>
      </c>
      <c r="H27" s="5">
        <v>140000</v>
      </c>
      <c r="I27" s="5">
        <v>150000</v>
      </c>
      <c r="J27" s="5">
        <v>115000</v>
      </c>
      <c r="K27" s="5">
        <v>140000</v>
      </c>
      <c r="L27" s="5">
        <v>160000</v>
      </c>
      <c r="M27" s="5">
        <v>57</v>
      </c>
      <c r="N27" s="5">
        <v>58</v>
      </c>
      <c r="O27" s="5">
        <v>63</v>
      </c>
      <c r="P27" s="5">
        <v>25</v>
      </c>
      <c r="Q27" s="5">
        <v>20</v>
      </c>
      <c r="R27" s="5">
        <v>25</v>
      </c>
      <c r="S27" s="5">
        <v>10</v>
      </c>
      <c r="T27" s="5">
        <v>11</v>
      </c>
      <c r="U27" s="5">
        <v>18</v>
      </c>
      <c r="V27" s="5">
        <v>9</v>
      </c>
      <c r="W27" s="5">
        <v>12</v>
      </c>
      <c r="X27" s="5">
        <v>14</v>
      </c>
      <c r="Y27" s="5">
        <v>4200</v>
      </c>
      <c r="Z27" s="5">
        <v>5000</v>
      </c>
      <c r="AA27" s="5">
        <v>5500</v>
      </c>
      <c r="AB27" s="5">
        <v>420</v>
      </c>
      <c r="AC27" s="5">
        <v>454.55</v>
      </c>
      <c r="AD27" s="5">
        <v>305.56</v>
      </c>
      <c r="AE27" s="5">
        <v>350</v>
      </c>
      <c r="AF27" s="5">
        <v>350</v>
      </c>
      <c r="AG27" s="5">
        <v>350</v>
      </c>
      <c r="AH27" s="5">
        <v>400</v>
      </c>
      <c r="AI27" s="5">
        <v>385</v>
      </c>
      <c r="AJ27" s="5">
        <v>390</v>
      </c>
      <c r="AK27" s="5">
        <v>2192.98</v>
      </c>
      <c r="AL27" s="5">
        <v>2241.38</v>
      </c>
      <c r="AM27" s="5">
        <v>2539.6799999999998</v>
      </c>
      <c r="AN27" s="5">
        <v>2200</v>
      </c>
      <c r="AO27" s="5">
        <v>2100</v>
      </c>
      <c r="AP27" s="5">
        <v>2400</v>
      </c>
      <c r="AQ27" s="5">
        <v>2500</v>
      </c>
      <c r="AR27" s="5">
        <v>2600</v>
      </c>
      <c r="AS27" s="5">
        <v>2400</v>
      </c>
    </row>
    <row r="28" spans="2:46" ht="18" thickBot="1" x14ac:dyDescent="0.35">
      <c r="B28" s="61"/>
      <c r="C28" s="5" t="s">
        <v>20</v>
      </c>
      <c r="D28" s="5">
        <v>170000</v>
      </c>
      <c r="E28" s="5">
        <v>160000</v>
      </c>
      <c r="F28" s="5">
        <v>185000</v>
      </c>
      <c r="G28" s="5">
        <v>150000</v>
      </c>
      <c r="H28" s="5">
        <v>140000</v>
      </c>
      <c r="I28" s="5">
        <v>150000</v>
      </c>
      <c r="J28" s="5">
        <v>160000</v>
      </c>
      <c r="K28" s="5">
        <v>130000</v>
      </c>
      <c r="L28" s="5">
        <v>125000</v>
      </c>
      <c r="M28" s="5">
        <v>74</v>
      </c>
      <c r="N28" s="5">
        <v>70</v>
      </c>
      <c r="O28" s="5">
        <v>74</v>
      </c>
      <c r="P28" s="5">
        <v>25</v>
      </c>
      <c r="Q28" s="5">
        <v>20</v>
      </c>
      <c r="R28" s="5">
        <v>25</v>
      </c>
      <c r="S28" s="5">
        <v>22</v>
      </c>
      <c r="T28" s="5">
        <v>23</v>
      </c>
      <c r="U28" s="5">
        <v>26</v>
      </c>
      <c r="V28" s="5">
        <v>17</v>
      </c>
      <c r="W28" s="5">
        <v>24</v>
      </c>
      <c r="X28" s="5">
        <v>22</v>
      </c>
      <c r="Y28" s="5">
        <v>7800</v>
      </c>
      <c r="Z28" s="5">
        <v>10000</v>
      </c>
      <c r="AA28" s="5">
        <v>9000</v>
      </c>
      <c r="AB28" s="5">
        <v>354.55</v>
      </c>
      <c r="AC28" s="5">
        <v>434.78</v>
      </c>
      <c r="AD28" s="5">
        <v>346.15</v>
      </c>
      <c r="AE28" s="5">
        <v>350</v>
      </c>
      <c r="AF28" s="5">
        <v>350</v>
      </c>
      <c r="AG28" s="5">
        <v>350</v>
      </c>
      <c r="AH28" s="5">
        <v>402</v>
      </c>
      <c r="AI28" s="5">
        <v>290</v>
      </c>
      <c r="AJ28" s="5">
        <v>380</v>
      </c>
      <c r="AK28" s="5">
        <v>2432.4299999999998</v>
      </c>
      <c r="AL28" s="5">
        <v>2285.71</v>
      </c>
      <c r="AM28" s="5">
        <v>2500</v>
      </c>
      <c r="AN28" s="5">
        <v>2100</v>
      </c>
      <c r="AO28" s="5">
        <v>2200</v>
      </c>
      <c r="AP28" s="5">
        <v>2300</v>
      </c>
      <c r="AQ28" s="5">
        <v>2500</v>
      </c>
      <c r="AR28" s="5">
        <v>2600</v>
      </c>
      <c r="AS28" s="5">
        <v>2400</v>
      </c>
    </row>
    <row r="29" spans="2:46" ht="18" thickBot="1" x14ac:dyDescent="0.35">
      <c r="B29" s="61"/>
      <c r="C29" s="5" t="s">
        <v>21</v>
      </c>
      <c r="D29" s="5">
        <v>175000</v>
      </c>
      <c r="E29" s="5">
        <v>135000</v>
      </c>
      <c r="F29" s="5">
        <v>145000</v>
      </c>
      <c r="G29" s="5">
        <v>150000</v>
      </c>
      <c r="H29" s="5">
        <v>140000</v>
      </c>
      <c r="I29" s="5">
        <v>150000</v>
      </c>
      <c r="J29" s="5">
        <v>170000</v>
      </c>
      <c r="K29" s="5">
        <v>145000</v>
      </c>
      <c r="L29" s="5">
        <v>130000</v>
      </c>
      <c r="M29" s="5">
        <v>70</v>
      </c>
      <c r="N29" s="5">
        <v>55</v>
      </c>
      <c r="O29" s="5">
        <v>61</v>
      </c>
      <c r="P29" s="5">
        <v>25</v>
      </c>
      <c r="Q29" s="5">
        <v>20</v>
      </c>
      <c r="R29" s="5">
        <v>25</v>
      </c>
      <c r="S29" s="5">
        <v>35</v>
      </c>
      <c r="T29" s="5">
        <v>20</v>
      </c>
      <c r="U29" s="5">
        <v>17</v>
      </c>
      <c r="V29" s="5">
        <v>36</v>
      </c>
      <c r="W29" s="5">
        <v>25</v>
      </c>
      <c r="X29" s="5">
        <v>21</v>
      </c>
      <c r="Y29" s="5">
        <v>13200</v>
      </c>
      <c r="Z29" s="5">
        <v>9500</v>
      </c>
      <c r="AA29" s="5">
        <v>8300</v>
      </c>
      <c r="AB29" s="5">
        <v>377.14</v>
      </c>
      <c r="AC29" s="5">
        <v>475</v>
      </c>
      <c r="AD29" s="5">
        <v>488.24</v>
      </c>
      <c r="AE29" s="5">
        <v>350</v>
      </c>
      <c r="AF29" s="5">
        <v>350</v>
      </c>
      <c r="AG29" s="5">
        <v>350</v>
      </c>
      <c r="AH29" s="5">
        <v>350</v>
      </c>
      <c r="AI29" s="5">
        <v>385</v>
      </c>
      <c r="AJ29" s="5">
        <v>352</v>
      </c>
      <c r="AK29" s="5">
        <v>2428.5700000000002</v>
      </c>
      <c r="AL29" s="5">
        <v>2454.5500000000002</v>
      </c>
      <c r="AM29" s="5">
        <v>2377.0500000000002</v>
      </c>
      <c r="AN29" s="5">
        <v>2500</v>
      </c>
      <c r="AO29" s="5">
        <v>2500</v>
      </c>
      <c r="AP29" s="5">
        <v>2300</v>
      </c>
      <c r="AQ29" s="5">
        <v>2500</v>
      </c>
      <c r="AR29" s="5">
        <v>2600</v>
      </c>
      <c r="AS29" s="5">
        <v>2400</v>
      </c>
    </row>
    <row r="30" spans="2:46" ht="18" thickBot="1" x14ac:dyDescent="0.35">
      <c r="B30" s="61"/>
      <c r="C30" s="5" t="s">
        <v>22</v>
      </c>
      <c r="D30" s="5">
        <v>156000</v>
      </c>
      <c r="E30" s="5">
        <v>175000</v>
      </c>
      <c r="F30" s="5">
        <v>155000</v>
      </c>
      <c r="G30" s="5">
        <v>150000</v>
      </c>
      <c r="H30" s="5">
        <v>140000</v>
      </c>
      <c r="I30" s="5">
        <v>150000</v>
      </c>
      <c r="J30" s="5">
        <v>165000</v>
      </c>
      <c r="K30" s="5">
        <v>155000</v>
      </c>
      <c r="L30" s="5">
        <v>140000</v>
      </c>
      <c r="M30" s="5">
        <v>66</v>
      </c>
      <c r="N30" s="5">
        <v>68</v>
      </c>
      <c r="O30" s="5">
        <v>63</v>
      </c>
      <c r="P30" s="5">
        <v>25</v>
      </c>
      <c r="Q30" s="5">
        <v>20</v>
      </c>
      <c r="R30" s="5">
        <v>25</v>
      </c>
      <c r="S30" s="5">
        <v>18</v>
      </c>
      <c r="T30" s="5">
        <v>14</v>
      </c>
      <c r="U30" s="5">
        <v>24</v>
      </c>
      <c r="V30" s="5">
        <v>14</v>
      </c>
      <c r="W30" s="5">
        <v>25</v>
      </c>
      <c r="X30" s="5">
        <v>22</v>
      </c>
      <c r="Y30" s="5">
        <v>6500</v>
      </c>
      <c r="Z30" s="5">
        <v>9000</v>
      </c>
      <c r="AA30" s="5">
        <v>8500</v>
      </c>
      <c r="AB30" s="5">
        <v>361.11</v>
      </c>
      <c r="AC30" s="5">
        <v>642.86</v>
      </c>
      <c r="AD30" s="5">
        <v>354.17</v>
      </c>
      <c r="AE30" s="5">
        <v>350</v>
      </c>
      <c r="AF30" s="5">
        <v>350</v>
      </c>
      <c r="AG30" s="5">
        <v>350</v>
      </c>
      <c r="AH30" s="5">
        <v>350</v>
      </c>
      <c r="AI30" s="5">
        <v>360</v>
      </c>
      <c r="AJ30" s="5">
        <v>388</v>
      </c>
      <c r="AK30" s="5">
        <v>2272.73</v>
      </c>
      <c r="AL30" s="5">
        <v>2573.5300000000002</v>
      </c>
      <c r="AM30" s="5">
        <v>2460.3200000000002</v>
      </c>
      <c r="AN30" s="5">
        <v>2200</v>
      </c>
      <c r="AO30" s="5">
        <v>2600</v>
      </c>
      <c r="AP30" s="5">
        <v>2400</v>
      </c>
      <c r="AQ30" s="5">
        <v>2500</v>
      </c>
      <c r="AR30" s="5">
        <v>2600</v>
      </c>
      <c r="AS30" s="5">
        <v>2400</v>
      </c>
    </row>
    <row r="31" spans="2:46" ht="18" thickBot="1" x14ac:dyDescent="0.35">
      <c r="B31" s="61"/>
      <c r="C31" s="5" t="s">
        <v>23</v>
      </c>
      <c r="D31" s="5">
        <v>135500</v>
      </c>
      <c r="E31" s="5">
        <v>190000</v>
      </c>
      <c r="F31" s="5">
        <v>140000</v>
      </c>
      <c r="G31" s="5">
        <v>150000</v>
      </c>
      <c r="H31" s="5">
        <v>140000</v>
      </c>
      <c r="I31" s="5">
        <v>150000</v>
      </c>
      <c r="J31" s="5">
        <v>155000</v>
      </c>
      <c r="K31" s="5">
        <v>120000</v>
      </c>
      <c r="L31" s="5">
        <v>150000</v>
      </c>
      <c r="M31" s="5">
        <v>71</v>
      </c>
      <c r="N31" s="5">
        <v>62</v>
      </c>
      <c r="O31" s="5">
        <v>51</v>
      </c>
      <c r="P31" s="5">
        <v>25</v>
      </c>
      <c r="Q31" s="5">
        <v>20</v>
      </c>
      <c r="R31" s="5">
        <v>25</v>
      </c>
      <c r="S31" s="5">
        <v>33</v>
      </c>
      <c r="T31" s="5">
        <v>20</v>
      </c>
      <c r="U31" s="5">
        <v>16</v>
      </c>
      <c r="V31" s="5">
        <v>20</v>
      </c>
      <c r="W31" s="5">
        <v>25</v>
      </c>
      <c r="X31" s="5">
        <v>24</v>
      </c>
      <c r="Y31" s="5">
        <v>12100</v>
      </c>
      <c r="Z31" s="5">
        <v>10800</v>
      </c>
      <c r="AA31" s="5">
        <v>10500</v>
      </c>
      <c r="AB31" s="5">
        <v>366.67</v>
      </c>
      <c r="AC31" s="5">
        <v>540</v>
      </c>
      <c r="AD31" s="5">
        <v>656.25</v>
      </c>
      <c r="AE31" s="5">
        <v>350</v>
      </c>
      <c r="AF31" s="5">
        <v>350</v>
      </c>
      <c r="AG31" s="5">
        <v>350</v>
      </c>
      <c r="AH31" s="5">
        <v>385</v>
      </c>
      <c r="AI31" s="5">
        <v>350</v>
      </c>
      <c r="AJ31" s="5">
        <v>406</v>
      </c>
      <c r="AK31" s="5">
        <v>1901.41</v>
      </c>
      <c r="AL31" s="5">
        <v>3064.52</v>
      </c>
      <c r="AM31" s="5">
        <v>2745.1</v>
      </c>
      <c r="AN31" s="5">
        <v>2100</v>
      </c>
      <c r="AO31" s="5">
        <v>2800</v>
      </c>
      <c r="AP31" s="5">
        <v>2700</v>
      </c>
      <c r="AQ31" s="5">
        <v>2500</v>
      </c>
      <c r="AR31" s="5">
        <v>2600</v>
      </c>
      <c r="AS31" s="5">
        <v>2400</v>
      </c>
    </row>
    <row r="32" spans="2:46" ht="18" thickBot="1" x14ac:dyDescent="0.35">
      <c r="B32" s="61"/>
      <c r="C32" s="6" t="s">
        <v>24</v>
      </c>
      <c r="D32" s="6">
        <f t="shared" ref="D32:AA32" si="0">SUM(D27:D31)</f>
        <v>771500</v>
      </c>
      <c r="E32" s="6">
        <f>SUM(E27:E31)</f>
        <v>790000</v>
      </c>
      <c r="F32" s="6">
        <f t="shared" si="0"/>
        <v>785000</v>
      </c>
      <c r="G32" s="6">
        <f t="shared" si="0"/>
        <v>750000</v>
      </c>
      <c r="H32" s="6">
        <f t="shared" si="0"/>
        <v>700000</v>
      </c>
      <c r="I32" s="6">
        <f t="shared" si="0"/>
        <v>750000</v>
      </c>
      <c r="J32" s="6">
        <f t="shared" si="0"/>
        <v>765000</v>
      </c>
      <c r="K32" s="6">
        <f t="shared" si="0"/>
        <v>690000</v>
      </c>
      <c r="L32" s="6">
        <f t="shared" si="0"/>
        <v>705000</v>
      </c>
      <c r="M32" s="6">
        <f t="shared" si="0"/>
        <v>338</v>
      </c>
      <c r="N32" s="6">
        <f t="shared" si="0"/>
        <v>313</v>
      </c>
      <c r="O32" s="6">
        <f t="shared" si="0"/>
        <v>312</v>
      </c>
      <c r="P32" s="6">
        <f t="shared" si="0"/>
        <v>125</v>
      </c>
      <c r="Q32" s="6">
        <f t="shared" si="0"/>
        <v>100</v>
      </c>
      <c r="R32" s="6">
        <f t="shared" si="0"/>
        <v>125</v>
      </c>
      <c r="S32" s="6">
        <f t="shared" si="0"/>
        <v>118</v>
      </c>
      <c r="T32" s="6">
        <f t="shared" si="0"/>
        <v>88</v>
      </c>
      <c r="U32" s="6">
        <f t="shared" si="0"/>
        <v>101</v>
      </c>
      <c r="V32" s="6">
        <f t="shared" si="0"/>
        <v>96</v>
      </c>
      <c r="W32" s="6">
        <f t="shared" si="0"/>
        <v>111</v>
      </c>
      <c r="X32" s="6">
        <f t="shared" si="0"/>
        <v>103</v>
      </c>
      <c r="Y32" s="6">
        <f t="shared" si="0"/>
        <v>43800</v>
      </c>
      <c r="Z32" s="6">
        <f t="shared" si="0"/>
        <v>44300</v>
      </c>
      <c r="AA32" s="6">
        <f t="shared" si="0"/>
        <v>41800</v>
      </c>
      <c r="AB32" s="6">
        <f t="shared" ref="AB32:AS32" si="1">AVERAGE(AB27:AB31)</f>
        <v>375.89400000000006</v>
      </c>
      <c r="AC32" s="6">
        <f t="shared" si="1"/>
        <v>509.43799999999999</v>
      </c>
      <c r="AD32" s="6">
        <f t="shared" si="1"/>
        <v>430.07399999999996</v>
      </c>
      <c r="AE32" s="6">
        <f t="shared" si="1"/>
        <v>350</v>
      </c>
      <c r="AF32" s="6">
        <f t="shared" si="1"/>
        <v>350</v>
      </c>
      <c r="AG32" s="6">
        <f t="shared" si="1"/>
        <v>350</v>
      </c>
      <c r="AH32" s="6">
        <f t="shared" si="1"/>
        <v>377.4</v>
      </c>
      <c r="AI32" s="6">
        <f t="shared" si="1"/>
        <v>354</v>
      </c>
      <c r="AJ32" s="6">
        <f t="shared" si="1"/>
        <v>383.2</v>
      </c>
      <c r="AK32" s="6">
        <f t="shared" si="1"/>
        <v>2245.6239999999998</v>
      </c>
      <c r="AL32" s="6">
        <f t="shared" si="1"/>
        <v>2523.9380000000001</v>
      </c>
      <c r="AM32" s="6">
        <f t="shared" si="1"/>
        <v>2524.4300000000003</v>
      </c>
      <c r="AN32" s="6">
        <f t="shared" si="1"/>
        <v>2220</v>
      </c>
      <c r="AO32" s="6">
        <f t="shared" si="1"/>
        <v>2440</v>
      </c>
      <c r="AP32" s="6">
        <f t="shared" si="1"/>
        <v>2420</v>
      </c>
      <c r="AQ32" s="6">
        <f t="shared" si="1"/>
        <v>2500</v>
      </c>
      <c r="AR32" s="6">
        <f t="shared" si="1"/>
        <v>2600</v>
      </c>
      <c r="AS32" s="6">
        <f t="shared" si="1"/>
        <v>2400</v>
      </c>
    </row>
    <row r="33" spans="2:45" ht="18" thickBot="1" x14ac:dyDescent="0.35">
      <c r="B33" s="40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</row>
    <row r="34" spans="2:45" ht="18" thickBot="1" x14ac:dyDescent="0.35">
      <c r="B34" s="40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</row>
    <row r="35" spans="2:45" ht="15" thickBot="1" x14ac:dyDescent="0.35">
      <c r="B35" s="57" t="s">
        <v>25</v>
      </c>
      <c r="C35" s="65" t="s">
        <v>0</v>
      </c>
      <c r="D35" s="1" t="s">
        <v>26</v>
      </c>
      <c r="E35" s="1" t="s">
        <v>27</v>
      </c>
      <c r="F35" s="2" t="s">
        <v>28</v>
      </c>
      <c r="G35" s="1" t="s">
        <v>26</v>
      </c>
      <c r="H35" s="1" t="s">
        <v>27</v>
      </c>
      <c r="I35" s="2" t="s">
        <v>28</v>
      </c>
      <c r="J35" s="1" t="s">
        <v>26</v>
      </c>
      <c r="K35" s="1" t="s">
        <v>27</v>
      </c>
      <c r="L35" s="2" t="s">
        <v>28</v>
      </c>
      <c r="M35" s="1" t="s">
        <v>26</v>
      </c>
      <c r="N35" s="1" t="s">
        <v>27</v>
      </c>
      <c r="O35" s="2" t="s">
        <v>28</v>
      </c>
      <c r="P35" s="1" t="s">
        <v>26</v>
      </c>
      <c r="Q35" s="1" t="s">
        <v>27</v>
      </c>
      <c r="R35" s="2" t="s">
        <v>28</v>
      </c>
      <c r="S35" s="1" t="s">
        <v>26</v>
      </c>
      <c r="T35" s="1" t="s">
        <v>27</v>
      </c>
      <c r="U35" s="2" t="s">
        <v>28</v>
      </c>
      <c r="V35" s="1" t="s">
        <v>26</v>
      </c>
      <c r="W35" s="1" t="s">
        <v>27</v>
      </c>
      <c r="X35" s="2" t="s">
        <v>28</v>
      </c>
      <c r="Y35" s="1" t="s">
        <v>26</v>
      </c>
      <c r="Z35" s="1" t="s">
        <v>27</v>
      </c>
      <c r="AA35" s="2" t="s">
        <v>28</v>
      </c>
      <c r="AB35" s="1" t="s">
        <v>26</v>
      </c>
      <c r="AC35" s="1" t="s">
        <v>27</v>
      </c>
      <c r="AD35" s="2" t="s">
        <v>28</v>
      </c>
      <c r="AE35" s="1" t="s">
        <v>26</v>
      </c>
      <c r="AF35" s="1" t="s">
        <v>27</v>
      </c>
      <c r="AG35" s="2" t="s">
        <v>28</v>
      </c>
      <c r="AH35" s="1" t="s">
        <v>26</v>
      </c>
      <c r="AI35" s="1" t="s">
        <v>27</v>
      </c>
      <c r="AJ35" s="2" t="s">
        <v>28</v>
      </c>
      <c r="AK35" s="1" t="s">
        <v>26</v>
      </c>
      <c r="AL35" s="1" t="s">
        <v>27</v>
      </c>
      <c r="AM35" s="2" t="s">
        <v>28</v>
      </c>
      <c r="AN35" s="1" t="s">
        <v>26</v>
      </c>
      <c r="AO35" s="1" t="s">
        <v>27</v>
      </c>
      <c r="AP35" s="2" t="s">
        <v>28</v>
      </c>
      <c r="AQ35" s="1" t="s">
        <v>26</v>
      </c>
      <c r="AR35" s="1" t="s">
        <v>27</v>
      </c>
      <c r="AS35" s="2" t="s">
        <v>28</v>
      </c>
    </row>
    <row r="36" spans="2:45" ht="15" thickBot="1" x14ac:dyDescent="0.35">
      <c r="B36" s="57"/>
      <c r="C36" s="60"/>
      <c r="D36" s="3" t="s">
        <v>5</v>
      </c>
      <c r="E36" s="3" t="s">
        <v>5</v>
      </c>
      <c r="F36" s="4" t="s">
        <v>5</v>
      </c>
      <c r="G36" s="3" t="s">
        <v>6</v>
      </c>
      <c r="H36" s="3" t="s">
        <v>6</v>
      </c>
      <c r="I36" s="4" t="s">
        <v>6</v>
      </c>
      <c r="J36" s="3" t="s">
        <v>7</v>
      </c>
      <c r="K36" s="3" t="s">
        <v>7</v>
      </c>
      <c r="L36" s="4" t="s">
        <v>7</v>
      </c>
      <c r="M36" s="3" t="s">
        <v>8</v>
      </c>
      <c r="N36" s="3" t="s">
        <v>8</v>
      </c>
      <c r="O36" s="4" t="s">
        <v>8</v>
      </c>
      <c r="P36" s="3" t="s">
        <v>9</v>
      </c>
      <c r="Q36" s="3" t="s">
        <v>9</v>
      </c>
      <c r="R36" s="4" t="s">
        <v>9</v>
      </c>
      <c r="S36" s="3" t="s">
        <v>10</v>
      </c>
      <c r="T36" s="3" t="s">
        <v>10</v>
      </c>
      <c r="U36" s="4" t="s">
        <v>10</v>
      </c>
      <c r="V36" s="3" t="s">
        <v>11</v>
      </c>
      <c r="W36" s="3" t="s">
        <v>11</v>
      </c>
      <c r="X36" s="4" t="s">
        <v>11</v>
      </c>
      <c r="Y36" s="3" t="s">
        <v>12</v>
      </c>
      <c r="Z36" s="3" t="s">
        <v>12</v>
      </c>
      <c r="AA36" s="4" t="s">
        <v>12</v>
      </c>
      <c r="AB36" s="3" t="s">
        <v>13</v>
      </c>
      <c r="AC36" s="3" t="s">
        <v>13</v>
      </c>
      <c r="AD36" s="4" t="s">
        <v>13</v>
      </c>
      <c r="AE36" s="3" t="s">
        <v>14</v>
      </c>
      <c r="AF36" s="3" t="s">
        <v>14</v>
      </c>
      <c r="AG36" s="4" t="s">
        <v>14</v>
      </c>
      <c r="AH36" s="3" t="s">
        <v>15</v>
      </c>
      <c r="AI36" s="3" t="s">
        <v>15</v>
      </c>
      <c r="AJ36" s="4" t="s">
        <v>15</v>
      </c>
      <c r="AK36" s="3" t="s">
        <v>16</v>
      </c>
      <c r="AL36" s="3" t="s">
        <v>16</v>
      </c>
      <c r="AM36" s="4" t="s">
        <v>16</v>
      </c>
      <c r="AN36" s="3" t="s">
        <v>17</v>
      </c>
      <c r="AO36" s="3" t="s">
        <v>17</v>
      </c>
      <c r="AP36" s="4" t="s">
        <v>17</v>
      </c>
      <c r="AQ36" s="3" t="s">
        <v>18</v>
      </c>
      <c r="AR36" s="3" t="s">
        <v>18</v>
      </c>
      <c r="AS36" s="4" t="s">
        <v>18</v>
      </c>
    </row>
    <row r="37" spans="2:45" ht="18" thickBot="1" x14ac:dyDescent="0.35">
      <c r="B37" s="57"/>
      <c r="C37" s="5" t="s">
        <v>19</v>
      </c>
      <c r="D37" s="5">
        <v>130000</v>
      </c>
      <c r="E37" s="5">
        <v>135000</v>
      </c>
      <c r="F37" s="5">
        <v>150000</v>
      </c>
      <c r="G37" s="5">
        <v>150000</v>
      </c>
      <c r="H37" s="5">
        <v>160000</v>
      </c>
      <c r="I37" s="5">
        <v>140000</v>
      </c>
      <c r="J37" s="5">
        <v>125000</v>
      </c>
      <c r="K37" s="5">
        <v>160000</v>
      </c>
      <c r="L37" s="5">
        <v>135000</v>
      </c>
      <c r="M37" s="5">
        <v>58</v>
      </c>
      <c r="N37" s="5">
        <v>63</v>
      </c>
      <c r="O37" s="5">
        <v>55</v>
      </c>
      <c r="P37" s="5">
        <v>30</v>
      </c>
      <c r="Q37" s="5">
        <v>30</v>
      </c>
      <c r="R37" s="5">
        <v>25</v>
      </c>
      <c r="S37" s="5">
        <v>12</v>
      </c>
      <c r="T37" s="5">
        <v>25</v>
      </c>
      <c r="U37" s="5">
        <v>11</v>
      </c>
      <c r="V37" s="5">
        <v>11</v>
      </c>
      <c r="W37" s="5">
        <v>21</v>
      </c>
      <c r="X37" s="5">
        <v>14</v>
      </c>
      <c r="Y37" s="5">
        <v>5000</v>
      </c>
      <c r="Z37" s="5">
        <v>4500</v>
      </c>
      <c r="AA37" s="5">
        <v>5000</v>
      </c>
      <c r="AB37" s="5">
        <v>416.67</v>
      </c>
      <c r="AC37" s="5">
        <v>180</v>
      </c>
      <c r="AD37" s="5">
        <v>454.55</v>
      </c>
      <c r="AE37" s="5">
        <v>400</v>
      </c>
      <c r="AF37" s="5">
        <v>350</v>
      </c>
      <c r="AG37" s="5">
        <v>350</v>
      </c>
      <c r="AH37" s="5">
        <v>400</v>
      </c>
      <c r="AI37" s="5">
        <v>385</v>
      </c>
      <c r="AJ37" s="5">
        <v>390</v>
      </c>
      <c r="AK37" s="5">
        <v>2068.9699999999998</v>
      </c>
      <c r="AL37" s="5">
        <v>2142.86</v>
      </c>
      <c r="AM37" s="5">
        <v>2727.27</v>
      </c>
      <c r="AN37" s="5">
        <v>2100</v>
      </c>
      <c r="AO37" s="5">
        <v>2000</v>
      </c>
      <c r="AP37" s="5">
        <v>2600</v>
      </c>
      <c r="AQ37" s="5">
        <v>2700</v>
      </c>
      <c r="AR37" s="5">
        <v>2500</v>
      </c>
      <c r="AS37" s="5">
        <v>2600</v>
      </c>
    </row>
    <row r="38" spans="2:45" ht="18" thickBot="1" x14ac:dyDescent="0.35">
      <c r="B38" s="57"/>
      <c r="C38" s="5" t="s">
        <v>20</v>
      </c>
      <c r="D38" s="5">
        <v>175000</v>
      </c>
      <c r="E38" s="5">
        <v>155000</v>
      </c>
      <c r="F38" s="5">
        <v>190000</v>
      </c>
      <c r="G38" s="5">
        <v>150000</v>
      </c>
      <c r="H38" s="5">
        <v>160000</v>
      </c>
      <c r="I38" s="5">
        <v>140000</v>
      </c>
      <c r="J38" s="5">
        <v>145000</v>
      </c>
      <c r="K38" s="5">
        <v>125000</v>
      </c>
      <c r="L38" s="5">
        <v>125000</v>
      </c>
      <c r="M38" s="5">
        <v>70</v>
      </c>
      <c r="N38" s="5">
        <v>74</v>
      </c>
      <c r="O38" s="5">
        <v>65</v>
      </c>
      <c r="P38" s="5">
        <v>30</v>
      </c>
      <c r="Q38" s="5">
        <v>30</v>
      </c>
      <c r="R38" s="5">
        <v>25</v>
      </c>
      <c r="S38" s="5">
        <v>26</v>
      </c>
      <c r="T38" s="5">
        <v>18</v>
      </c>
      <c r="U38" s="5">
        <v>23</v>
      </c>
      <c r="V38" s="5">
        <v>17</v>
      </c>
      <c r="W38" s="5">
        <v>18</v>
      </c>
      <c r="X38" s="5">
        <v>15</v>
      </c>
      <c r="Y38" s="5">
        <v>9800</v>
      </c>
      <c r="Z38" s="5">
        <v>9800</v>
      </c>
      <c r="AA38" s="5">
        <v>6500</v>
      </c>
      <c r="AB38" s="5">
        <v>376.92</v>
      </c>
      <c r="AC38" s="5">
        <v>544.44000000000005</v>
      </c>
      <c r="AD38" s="5">
        <v>282.61</v>
      </c>
      <c r="AE38" s="5">
        <v>400</v>
      </c>
      <c r="AF38" s="5">
        <v>350</v>
      </c>
      <c r="AG38" s="5">
        <v>350</v>
      </c>
      <c r="AH38" s="5">
        <v>402</v>
      </c>
      <c r="AI38" s="5">
        <v>290</v>
      </c>
      <c r="AJ38" s="5">
        <v>380</v>
      </c>
      <c r="AK38" s="5">
        <v>2500</v>
      </c>
      <c r="AL38" s="5">
        <v>2094.59</v>
      </c>
      <c r="AM38" s="5">
        <v>2923.08</v>
      </c>
      <c r="AN38" s="5">
        <v>2200</v>
      </c>
      <c r="AO38" s="5">
        <v>2000</v>
      </c>
      <c r="AP38" s="5">
        <v>2200</v>
      </c>
      <c r="AQ38" s="5">
        <v>2700</v>
      </c>
      <c r="AR38" s="5">
        <v>2500</v>
      </c>
      <c r="AS38" s="5">
        <v>2600</v>
      </c>
    </row>
    <row r="39" spans="2:45" ht="18" thickBot="1" x14ac:dyDescent="0.35">
      <c r="B39" s="57"/>
      <c r="C39" s="5" t="s">
        <v>21</v>
      </c>
      <c r="D39" s="5">
        <v>180000</v>
      </c>
      <c r="E39" s="5">
        <v>145000</v>
      </c>
      <c r="F39" s="5">
        <v>155000</v>
      </c>
      <c r="G39" s="5">
        <v>150000</v>
      </c>
      <c r="H39" s="5">
        <v>160000</v>
      </c>
      <c r="I39" s="5">
        <v>140000</v>
      </c>
      <c r="J39" s="5">
        <v>155000</v>
      </c>
      <c r="K39" s="5">
        <v>130000</v>
      </c>
      <c r="L39" s="5">
        <v>125000</v>
      </c>
      <c r="M39" s="5">
        <v>55</v>
      </c>
      <c r="N39" s="5">
        <v>61</v>
      </c>
      <c r="O39" s="5">
        <v>44</v>
      </c>
      <c r="P39" s="5">
        <v>30</v>
      </c>
      <c r="Q39" s="5">
        <v>30</v>
      </c>
      <c r="R39" s="5">
        <v>25</v>
      </c>
      <c r="S39" s="5">
        <v>31</v>
      </c>
      <c r="T39" s="5">
        <v>25</v>
      </c>
      <c r="U39" s="5">
        <v>20</v>
      </c>
      <c r="V39" s="5">
        <v>25</v>
      </c>
      <c r="W39" s="5">
        <v>21</v>
      </c>
      <c r="X39" s="5">
        <v>22</v>
      </c>
      <c r="Y39" s="5">
        <v>9500</v>
      </c>
      <c r="Z39" s="5">
        <v>10200</v>
      </c>
      <c r="AA39" s="5">
        <v>8000</v>
      </c>
      <c r="AB39" s="5">
        <v>306.45</v>
      </c>
      <c r="AC39" s="5">
        <v>408</v>
      </c>
      <c r="AD39" s="5">
        <v>400</v>
      </c>
      <c r="AE39" s="5">
        <v>400</v>
      </c>
      <c r="AF39" s="5">
        <v>350</v>
      </c>
      <c r="AG39" s="5">
        <v>350</v>
      </c>
      <c r="AH39" s="5">
        <v>350</v>
      </c>
      <c r="AI39" s="5">
        <v>385</v>
      </c>
      <c r="AJ39" s="5">
        <v>352</v>
      </c>
      <c r="AK39" s="5">
        <v>3272.73</v>
      </c>
      <c r="AL39" s="5">
        <v>2377.0500000000002</v>
      </c>
      <c r="AM39" s="5">
        <v>3522.73</v>
      </c>
      <c r="AN39" s="5">
        <v>3000</v>
      </c>
      <c r="AO39" s="5">
        <v>2200</v>
      </c>
      <c r="AP39" s="5">
        <v>2100</v>
      </c>
      <c r="AQ39" s="5">
        <v>2700</v>
      </c>
      <c r="AR39" s="5">
        <v>2500</v>
      </c>
      <c r="AS39" s="5">
        <v>2600</v>
      </c>
    </row>
    <row r="40" spans="2:45" ht="18" thickBot="1" x14ac:dyDescent="0.35">
      <c r="B40" s="57"/>
      <c r="C40" s="5" t="s">
        <v>22</v>
      </c>
      <c r="D40" s="5">
        <v>160000</v>
      </c>
      <c r="E40" s="5">
        <v>180000</v>
      </c>
      <c r="F40" s="5">
        <v>175000</v>
      </c>
      <c r="G40" s="5">
        <v>150000</v>
      </c>
      <c r="H40" s="5">
        <v>160000</v>
      </c>
      <c r="I40" s="5">
        <v>140000</v>
      </c>
      <c r="J40" s="5">
        <v>145000</v>
      </c>
      <c r="K40" s="5">
        <v>140000</v>
      </c>
      <c r="L40" s="5">
        <v>160000</v>
      </c>
      <c r="M40" s="5">
        <v>68</v>
      </c>
      <c r="N40" s="5">
        <v>63</v>
      </c>
      <c r="O40" s="5">
        <v>50</v>
      </c>
      <c r="P40" s="5">
        <v>30</v>
      </c>
      <c r="Q40" s="5">
        <v>30</v>
      </c>
      <c r="R40" s="5">
        <v>25</v>
      </c>
      <c r="S40" s="5">
        <v>28</v>
      </c>
      <c r="T40" s="5">
        <v>15</v>
      </c>
      <c r="U40" s="5">
        <v>14</v>
      </c>
      <c r="V40" s="5">
        <v>17</v>
      </c>
      <c r="W40" s="5">
        <v>18</v>
      </c>
      <c r="X40" s="5">
        <v>21</v>
      </c>
      <c r="Y40" s="5">
        <v>9000</v>
      </c>
      <c r="Z40" s="5">
        <v>5600</v>
      </c>
      <c r="AA40" s="5">
        <v>7000</v>
      </c>
      <c r="AB40" s="5">
        <v>321.43</v>
      </c>
      <c r="AC40" s="5">
        <v>373.33</v>
      </c>
      <c r="AD40" s="5">
        <v>500</v>
      </c>
      <c r="AE40" s="5">
        <v>400</v>
      </c>
      <c r="AF40" s="5">
        <v>350</v>
      </c>
      <c r="AG40" s="5">
        <v>350</v>
      </c>
      <c r="AH40" s="5">
        <v>350</v>
      </c>
      <c r="AI40" s="5">
        <v>360</v>
      </c>
      <c r="AJ40" s="5">
        <v>388</v>
      </c>
      <c r="AK40" s="5">
        <v>2352.94</v>
      </c>
      <c r="AL40" s="5">
        <v>2857.14</v>
      </c>
      <c r="AM40" s="5">
        <v>3500</v>
      </c>
      <c r="AN40" s="5">
        <v>2200</v>
      </c>
      <c r="AO40" s="5">
        <v>2450</v>
      </c>
      <c r="AP40" s="5">
        <v>3300</v>
      </c>
      <c r="AQ40" s="5">
        <v>2700</v>
      </c>
      <c r="AR40" s="5">
        <v>2500</v>
      </c>
      <c r="AS40" s="5">
        <v>2600</v>
      </c>
    </row>
    <row r="41" spans="2:45" ht="18" thickBot="1" x14ac:dyDescent="0.35">
      <c r="B41" s="57"/>
      <c r="C41" s="5" t="s">
        <v>23</v>
      </c>
      <c r="D41" s="5">
        <v>205000</v>
      </c>
      <c r="E41" s="5">
        <v>195000</v>
      </c>
      <c r="F41" s="5">
        <v>125000</v>
      </c>
      <c r="G41" s="5">
        <v>150000</v>
      </c>
      <c r="H41" s="5">
        <v>160000</v>
      </c>
      <c r="I41" s="5">
        <v>140000</v>
      </c>
      <c r="J41" s="5">
        <v>125000</v>
      </c>
      <c r="K41" s="5">
        <v>150000</v>
      </c>
      <c r="L41" s="5">
        <v>145000</v>
      </c>
      <c r="M41" s="5">
        <v>62</v>
      </c>
      <c r="N41" s="5">
        <v>51</v>
      </c>
      <c r="O41" s="5">
        <v>35</v>
      </c>
      <c r="P41" s="5">
        <v>30</v>
      </c>
      <c r="Q41" s="5">
        <v>30</v>
      </c>
      <c r="R41" s="5">
        <v>25</v>
      </c>
      <c r="S41" s="5">
        <v>25</v>
      </c>
      <c r="T41" s="5">
        <v>18</v>
      </c>
      <c r="U41" s="5">
        <v>20</v>
      </c>
      <c r="V41" s="5">
        <v>20</v>
      </c>
      <c r="W41" s="5">
        <v>13</v>
      </c>
      <c r="X41" s="5">
        <v>20</v>
      </c>
      <c r="Y41" s="5">
        <v>10800</v>
      </c>
      <c r="Z41" s="5">
        <v>9500</v>
      </c>
      <c r="AA41" s="5">
        <v>9000</v>
      </c>
      <c r="AB41" s="5">
        <v>432</v>
      </c>
      <c r="AC41" s="5">
        <v>527.78</v>
      </c>
      <c r="AD41" s="5">
        <v>450</v>
      </c>
      <c r="AE41" s="5">
        <v>400</v>
      </c>
      <c r="AF41" s="5">
        <v>350</v>
      </c>
      <c r="AG41" s="5">
        <v>350</v>
      </c>
      <c r="AH41" s="5">
        <v>385</v>
      </c>
      <c r="AI41" s="5">
        <v>350</v>
      </c>
      <c r="AJ41" s="5">
        <v>406</v>
      </c>
      <c r="AK41" s="5">
        <v>3306.45</v>
      </c>
      <c r="AL41" s="5">
        <v>3823.53</v>
      </c>
      <c r="AM41" s="5">
        <v>3571.43</v>
      </c>
      <c r="AN41" s="5">
        <v>2900</v>
      </c>
      <c r="AO41" s="5">
        <v>3100</v>
      </c>
      <c r="AP41" s="5">
        <v>3100</v>
      </c>
      <c r="AQ41" s="5">
        <v>2700</v>
      </c>
      <c r="AR41" s="5">
        <v>2500</v>
      </c>
      <c r="AS41" s="5">
        <v>2600</v>
      </c>
    </row>
    <row r="42" spans="2:45" ht="18" thickBot="1" x14ac:dyDescent="0.35">
      <c r="B42" s="57"/>
      <c r="C42" s="6" t="s">
        <v>24</v>
      </c>
      <c r="D42" s="6">
        <f t="shared" ref="D42:AA42" si="2">SUM(D37:D41)</f>
        <v>850000</v>
      </c>
      <c r="E42" s="6">
        <f t="shared" si="2"/>
        <v>810000</v>
      </c>
      <c r="F42" s="6">
        <f t="shared" si="2"/>
        <v>795000</v>
      </c>
      <c r="G42" s="6">
        <f t="shared" si="2"/>
        <v>750000</v>
      </c>
      <c r="H42" s="6">
        <f t="shared" si="2"/>
        <v>800000</v>
      </c>
      <c r="I42" s="6">
        <f t="shared" si="2"/>
        <v>700000</v>
      </c>
      <c r="J42" s="6">
        <f t="shared" si="2"/>
        <v>695000</v>
      </c>
      <c r="K42" s="6">
        <f t="shared" si="2"/>
        <v>705000</v>
      </c>
      <c r="L42" s="6">
        <f t="shared" si="2"/>
        <v>690000</v>
      </c>
      <c r="M42" s="6">
        <f t="shared" si="2"/>
        <v>313</v>
      </c>
      <c r="N42" s="6">
        <f t="shared" si="2"/>
        <v>312</v>
      </c>
      <c r="O42" s="6">
        <f t="shared" si="2"/>
        <v>249</v>
      </c>
      <c r="P42" s="6">
        <f t="shared" si="2"/>
        <v>150</v>
      </c>
      <c r="Q42" s="6">
        <f t="shared" si="2"/>
        <v>150</v>
      </c>
      <c r="R42" s="6">
        <f t="shared" si="2"/>
        <v>125</v>
      </c>
      <c r="S42" s="6">
        <f t="shared" si="2"/>
        <v>122</v>
      </c>
      <c r="T42" s="6">
        <f t="shared" si="2"/>
        <v>101</v>
      </c>
      <c r="U42" s="6">
        <f t="shared" si="2"/>
        <v>88</v>
      </c>
      <c r="V42" s="6">
        <f t="shared" si="2"/>
        <v>90</v>
      </c>
      <c r="W42" s="6">
        <f t="shared" si="2"/>
        <v>91</v>
      </c>
      <c r="X42" s="6">
        <f t="shared" si="2"/>
        <v>92</v>
      </c>
      <c r="Y42" s="6">
        <f t="shared" si="2"/>
        <v>44100</v>
      </c>
      <c r="Z42" s="6">
        <f t="shared" si="2"/>
        <v>39600</v>
      </c>
      <c r="AA42" s="6">
        <f t="shared" si="2"/>
        <v>35500</v>
      </c>
      <c r="AB42" s="6">
        <f t="shared" ref="AB42:AS42" si="3">AVERAGE(AB37:AB41)</f>
        <v>370.69400000000002</v>
      </c>
      <c r="AC42" s="6">
        <f t="shared" si="3"/>
        <v>406.71</v>
      </c>
      <c r="AD42" s="6">
        <f t="shared" si="3"/>
        <v>417.43199999999996</v>
      </c>
      <c r="AE42" s="6">
        <f t="shared" si="3"/>
        <v>400</v>
      </c>
      <c r="AF42" s="6">
        <f t="shared" si="3"/>
        <v>350</v>
      </c>
      <c r="AG42" s="6">
        <f t="shared" si="3"/>
        <v>350</v>
      </c>
      <c r="AH42" s="6">
        <f t="shared" si="3"/>
        <v>377.4</v>
      </c>
      <c r="AI42" s="6">
        <f t="shared" si="3"/>
        <v>354</v>
      </c>
      <c r="AJ42" s="6">
        <f t="shared" si="3"/>
        <v>383.2</v>
      </c>
      <c r="AK42" s="6">
        <f t="shared" si="3"/>
        <v>2700.2179999999998</v>
      </c>
      <c r="AL42" s="6">
        <f t="shared" si="3"/>
        <v>2659.0340000000006</v>
      </c>
      <c r="AM42" s="6">
        <f t="shared" si="3"/>
        <v>3248.902</v>
      </c>
      <c r="AN42" s="6">
        <f t="shared" si="3"/>
        <v>2480</v>
      </c>
      <c r="AO42" s="6">
        <f t="shared" si="3"/>
        <v>2350</v>
      </c>
      <c r="AP42" s="6">
        <f t="shared" si="3"/>
        <v>2660</v>
      </c>
      <c r="AQ42" s="6">
        <f t="shared" si="3"/>
        <v>2700</v>
      </c>
      <c r="AR42" s="6">
        <f t="shared" si="3"/>
        <v>2500</v>
      </c>
      <c r="AS42" s="6">
        <f t="shared" si="3"/>
        <v>2600</v>
      </c>
    </row>
    <row r="43" spans="2:45" s="13" customFormat="1" ht="18" thickBot="1" x14ac:dyDescent="0.35">
      <c r="B43" s="41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</row>
    <row r="44" spans="2:45" ht="15" thickBot="1" x14ac:dyDescent="0.35"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</row>
    <row r="45" spans="2:45" ht="15" thickBot="1" x14ac:dyDescent="0.35">
      <c r="B45" s="58" t="s">
        <v>29</v>
      </c>
      <c r="C45" s="62" t="s">
        <v>0</v>
      </c>
      <c r="D45" s="1" t="s">
        <v>30</v>
      </c>
      <c r="E45" s="1" t="s">
        <v>31</v>
      </c>
      <c r="F45" s="2" t="s">
        <v>32</v>
      </c>
      <c r="G45" s="1" t="s">
        <v>30</v>
      </c>
      <c r="H45" s="1" t="s">
        <v>31</v>
      </c>
      <c r="I45" s="2" t="s">
        <v>32</v>
      </c>
      <c r="J45" s="1" t="s">
        <v>30</v>
      </c>
      <c r="K45" s="1" t="s">
        <v>31</v>
      </c>
      <c r="L45" s="2" t="s">
        <v>32</v>
      </c>
      <c r="M45" s="1" t="s">
        <v>30</v>
      </c>
      <c r="N45" s="1" t="s">
        <v>31</v>
      </c>
      <c r="O45" s="2" t="s">
        <v>32</v>
      </c>
      <c r="P45" s="1" t="s">
        <v>30</v>
      </c>
      <c r="Q45" s="1" t="s">
        <v>31</v>
      </c>
      <c r="R45" s="2" t="s">
        <v>32</v>
      </c>
      <c r="S45" s="1" t="s">
        <v>30</v>
      </c>
      <c r="T45" s="1" t="s">
        <v>31</v>
      </c>
      <c r="U45" s="2" t="s">
        <v>32</v>
      </c>
      <c r="V45" s="1" t="s">
        <v>30</v>
      </c>
      <c r="W45" s="1" t="s">
        <v>31</v>
      </c>
      <c r="X45" s="2" t="s">
        <v>32</v>
      </c>
      <c r="Y45" s="1" t="s">
        <v>30</v>
      </c>
      <c r="Z45" s="1" t="s">
        <v>31</v>
      </c>
      <c r="AA45" s="2" t="s">
        <v>32</v>
      </c>
      <c r="AB45" s="1" t="s">
        <v>30</v>
      </c>
      <c r="AC45" s="1" t="s">
        <v>31</v>
      </c>
      <c r="AD45" s="2" t="s">
        <v>32</v>
      </c>
      <c r="AE45" s="1" t="s">
        <v>30</v>
      </c>
      <c r="AF45" s="1" t="s">
        <v>31</v>
      </c>
      <c r="AG45" s="2" t="s">
        <v>32</v>
      </c>
      <c r="AH45" s="1" t="s">
        <v>30</v>
      </c>
      <c r="AI45" s="1" t="s">
        <v>31</v>
      </c>
      <c r="AJ45" s="2" t="s">
        <v>32</v>
      </c>
      <c r="AK45" s="1" t="s">
        <v>30</v>
      </c>
      <c r="AL45" s="1" t="s">
        <v>31</v>
      </c>
      <c r="AM45" s="2" t="s">
        <v>32</v>
      </c>
      <c r="AN45" s="1" t="s">
        <v>30</v>
      </c>
      <c r="AO45" s="1" t="s">
        <v>31</v>
      </c>
      <c r="AP45" s="2" t="s">
        <v>32</v>
      </c>
      <c r="AQ45" s="1" t="s">
        <v>30</v>
      </c>
      <c r="AR45" s="1" t="s">
        <v>31</v>
      </c>
      <c r="AS45" s="2" t="s">
        <v>32</v>
      </c>
    </row>
    <row r="46" spans="2:45" ht="15" thickBot="1" x14ac:dyDescent="0.35">
      <c r="B46" s="58"/>
      <c r="C46" s="60"/>
      <c r="D46" s="3" t="s">
        <v>5</v>
      </c>
      <c r="E46" s="3" t="s">
        <v>5</v>
      </c>
      <c r="F46" s="4" t="s">
        <v>5</v>
      </c>
      <c r="G46" s="3" t="s">
        <v>6</v>
      </c>
      <c r="H46" s="3" t="s">
        <v>6</v>
      </c>
      <c r="I46" s="4" t="s">
        <v>6</v>
      </c>
      <c r="J46" s="3" t="s">
        <v>7</v>
      </c>
      <c r="K46" s="3" t="s">
        <v>7</v>
      </c>
      <c r="L46" s="4" t="s">
        <v>7</v>
      </c>
      <c r="M46" s="3" t="s">
        <v>8</v>
      </c>
      <c r="N46" s="3" t="s">
        <v>8</v>
      </c>
      <c r="O46" s="4" t="s">
        <v>8</v>
      </c>
      <c r="P46" s="3" t="s">
        <v>9</v>
      </c>
      <c r="Q46" s="3" t="s">
        <v>9</v>
      </c>
      <c r="R46" s="4" t="s">
        <v>9</v>
      </c>
      <c r="S46" s="3" t="s">
        <v>10</v>
      </c>
      <c r="T46" s="3" t="s">
        <v>10</v>
      </c>
      <c r="U46" s="4" t="s">
        <v>10</v>
      </c>
      <c r="V46" s="3" t="s">
        <v>11</v>
      </c>
      <c r="W46" s="3" t="s">
        <v>11</v>
      </c>
      <c r="X46" s="4" t="s">
        <v>11</v>
      </c>
      <c r="Y46" s="3" t="s">
        <v>12</v>
      </c>
      <c r="Z46" s="3" t="s">
        <v>12</v>
      </c>
      <c r="AA46" s="4" t="s">
        <v>12</v>
      </c>
      <c r="AB46" s="3" t="s">
        <v>13</v>
      </c>
      <c r="AC46" s="3" t="s">
        <v>13</v>
      </c>
      <c r="AD46" s="4" t="s">
        <v>13</v>
      </c>
      <c r="AE46" s="3" t="s">
        <v>14</v>
      </c>
      <c r="AF46" s="3" t="s">
        <v>14</v>
      </c>
      <c r="AG46" s="4" t="s">
        <v>14</v>
      </c>
      <c r="AH46" s="3" t="s">
        <v>15</v>
      </c>
      <c r="AI46" s="3" t="s">
        <v>15</v>
      </c>
      <c r="AJ46" s="4" t="s">
        <v>15</v>
      </c>
      <c r="AK46" s="3" t="s">
        <v>16</v>
      </c>
      <c r="AL46" s="3" t="s">
        <v>16</v>
      </c>
      <c r="AM46" s="4" t="s">
        <v>16</v>
      </c>
      <c r="AN46" s="3" t="s">
        <v>17</v>
      </c>
      <c r="AO46" s="3" t="s">
        <v>17</v>
      </c>
      <c r="AP46" s="4" t="s">
        <v>17</v>
      </c>
      <c r="AQ46" s="3" t="s">
        <v>18</v>
      </c>
      <c r="AR46" s="3" t="s">
        <v>18</v>
      </c>
      <c r="AS46" s="4" t="s">
        <v>18</v>
      </c>
    </row>
    <row r="47" spans="2:45" ht="18" thickBot="1" x14ac:dyDescent="0.35">
      <c r="B47" s="58"/>
      <c r="C47" s="5" t="s">
        <v>19</v>
      </c>
      <c r="D47" s="5">
        <v>150000</v>
      </c>
      <c r="E47" s="5">
        <v>145000</v>
      </c>
      <c r="F47" s="5">
        <v>145000</v>
      </c>
      <c r="G47" s="5">
        <v>160000</v>
      </c>
      <c r="H47" s="5">
        <v>145000</v>
      </c>
      <c r="I47" s="5">
        <v>160000</v>
      </c>
      <c r="J47" s="5">
        <v>160000</v>
      </c>
      <c r="K47" s="5">
        <v>125000</v>
      </c>
      <c r="L47" s="5">
        <v>145000</v>
      </c>
      <c r="M47" s="5">
        <v>55</v>
      </c>
      <c r="N47" s="5">
        <v>55</v>
      </c>
      <c r="O47" s="5">
        <v>60</v>
      </c>
      <c r="P47" s="5">
        <v>20</v>
      </c>
      <c r="Q47" s="5">
        <v>25</v>
      </c>
      <c r="R47" s="5">
        <v>35</v>
      </c>
      <c r="S47" s="5">
        <v>14</v>
      </c>
      <c r="T47" s="5">
        <v>18</v>
      </c>
      <c r="U47" s="5">
        <v>17</v>
      </c>
      <c r="V47" s="5">
        <v>21</v>
      </c>
      <c r="W47" s="5">
        <v>15</v>
      </c>
      <c r="X47" s="5">
        <v>11</v>
      </c>
      <c r="Y47" s="5">
        <v>8000</v>
      </c>
      <c r="Z47" s="5">
        <v>6000</v>
      </c>
      <c r="AA47" s="5">
        <v>4000</v>
      </c>
      <c r="AB47" s="5">
        <v>571.42999999999995</v>
      </c>
      <c r="AC47" s="5">
        <v>333.33</v>
      </c>
      <c r="AD47" s="5">
        <v>235.29</v>
      </c>
      <c r="AE47" s="5">
        <v>350</v>
      </c>
      <c r="AF47" s="5">
        <v>450</v>
      </c>
      <c r="AG47" s="5">
        <v>350</v>
      </c>
      <c r="AH47" s="5">
        <v>400</v>
      </c>
      <c r="AI47" s="5">
        <v>385</v>
      </c>
      <c r="AJ47" s="5">
        <v>390</v>
      </c>
      <c r="AK47" s="5">
        <v>2909.09</v>
      </c>
      <c r="AL47" s="5">
        <v>2636.36</v>
      </c>
      <c r="AM47" s="5">
        <v>2416.67</v>
      </c>
      <c r="AN47" s="5">
        <v>2800</v>
      </c>
      <c r="AO47" s="5">
        <v>2500</v>
      </c>
      <c r="AP47" s="5">
        <v>2300</v>
      </c>
      <c r="AQ47" s="5">
        <v>2200</v>
      </c>
      <c r="AR47" s="5">
        <v>2300</v>
      </c>
      <c r="AS47" s="5">
        <v>2500</v>
      </c>
    </row>
    <row r="48" spans="2:45" ht="18" thickBot="1" x14ac:dyDescent="0.35">
      <c r="B48" s="58"/>
      <c r="C48" s="5" t="s">
        <v>20</v>
      </c>
      <c r="D48" s="5">
        <v>185000</v>
      </c>
      <c r="E48" s="5">
        <v>150000</v>
      </c>
      <c r="F48" s="5">
        <v>185000</v>
      </c>
      <c r="G48" s="5">
        <v>160000</v>
      </c>
      <c r="H48" s="5">
        <v>145000</v>
      </c>
      <c r="I48" s="5">
        <v>160000</v>
      </c>
      <c r="J48" s="5">
        <v>125000</v>
      </c>
      <c r="K48" s="5">
        <v>130000</v>
      </c>
      <c r="L48" s="5">
        <v>120000</v>
      </c>
      <c r="M48" s="5">
        <v>56</v>
      </c>
      <c r="N48" s="5">
        <v>45</v>
      </c>
      <c r="O48" s="5">
        <v>65</v>
      </c>
      <c r="P48" s="5">
        <v>20</v>
      </c>
      <c r="Q48" s="5">
        <v>25</v>
      </c>
      <c r="R48" s="5">
        <v>35</v>
      </c>
      <c r="S48" s="5">
        <v>15</v>
      </c>
      <c r="T48" s="5">
        <v>25</v>
      </c>
      <c r="U48" s="5">
        <v>25</v>
      </c>
      <c r="V48" s="5">
        <v>14</v>
      </c>
      <c r="W48" s="5">
        <v>22</v>
      </c>
      <c r="X48" s="5">
        <v>12</v>
      </c>
      <c r="Y48" s="5">
        <v>5500</v>
      </c>
      <c r="Z48" s="5">
        <v>8500</v>
      </c>
      <c r="AA48" s="5">
        <v>5000</v>
      </c>
      <c r="AB48" s="5">
        <v>366.67</v>
      </c>
      <c r="AC48" s="5">
        <v>340</v>
      </c>
      <c r="AD48" s="5">
        <v>200</v>
      </c>
      <c r="AE48" s="5">
        <v>350</v>
      </c>
      <c r="AF48" s="5">
        <v>450</v>
      </c>
      <c r="AG48" s="5">
        <v>350</v>
      </c>
      <c r="AH48" s="5">
        <v>380</v>
      </c>
      <c r="AI48" s="5">
        <v>400</v>
      </c>
      <c r="AJ48" s="5">
        <v>388</v>
      </c>
      <c r="AK48" s="5">
        <v>3303.57</v>
      </c>
      <c r="AL48" s="5">
        <v>3333.33</v>
      </c>
      <c r="AM48" s="5">
        <v>2846.15</v>
      </c>
      <c r="AN48" s="5">
        <v>2500</v>
      </c>
      <c r="AO48" s="5">
        <v>3000</v>
      </c>
      <c r="AP48" s="5">
        <v>2000</v>
      </c>
      <c r="AQ48" s="5">
        <v>2200</v>
      </c>
      <c r="AR48" s="5">
        <v>2300</v>
      </c>
      <c r="AS48" s="5">
        <v>2500</v>
      </c>
    </row>
    <row r="49" spans="2:45" ht="18" thickBot="1" x14ac:dyDescent="0.35">
      <c r="B49" s="58"/>
      <c r="C49" s="5" t="s">
        <v>21</v>
      </c>
      <c r="D49" s="5">
        <v>150000</v>
      </c>
      <c r="E49" s="5">
        <v>125000</v>
      </c>
      <c r="F49" s="5">
        <v>120000</v>
      </c>
      <c r="G49" s="5">
        <v>160000</v>
      </c>
      <c r="H49" s="5">
        <v>145000</v>
      </c>
      <c r="I49" s="5">
        <v>160000</v>
      </c>
      <c r="J49" s="5">
        <v>130000</v>
      </c>
      <c r="K49" s="5">
        <v>150000</v>
      </c>
      <c r="L49" s="5">
        <v>125000</v>
      </c>
      <c r="M49" s="5">
        <v>56</v>
      </c>
      <c r="N49" s="5">
        <v>65</v>
      </c>
      <c r="O49" s="5">
        <v>50</v>
      </c>
      <c r="P49" s="5">
        <v>20</v>
      </c>
      <c r="Q49" s="5">
        <v>25</v>
      </c>
      <c r="R49" s="5">
        <v>35</v>
      </c>
      <c r="S49" s="5">
        <v>22</v>
      </c>
      <c r="T49" s="5">
        <v>17</v>
      </c>
      <c r="U49" s="5">
        <v>17</v>
      </c>
      <c r="V49" s="5">
        <v>25</v>
      </c>
      <c r="W49" s="5">
        <v>17</v>
      </c>
      <c r="X49" s="5">
        <v>21</v>
      </c>
      <c r="Y49" s="5">
        <v>9000</v>
      </c>
      <c r="Z49" s="5">
        <v>6500</v>
      </c>
      <c r="AA49" s="5">
        <v>6500</v>
      </c>
      <c r="AB49" s="5">
        <v>409.09</v>
      </c>
      <c r="AC49" s="5">
        <v>382.35</v>
      </c>
      <c r="AD49" s="5">
        <v>382.35</v>
      </c>
      <c r="AE49" s="5">
        <v>350</v>
      </c>
      <c r="AF49" s="5">
        <v>450</v>
      </c>
      <c r="AG49" s="5">
        <v>350</v>
      </c>
      <c r="AH49" s="5">
        <v>365</v>
      </c>
      <c r="AI49" s="5">
        <v>350</v>
      </c>
      <c r="AJ49" s="5">
        <v>352</v>
      </c>
      <c r="AK49" s="5">
        <v>2678.57</v>
      </c>
      <c r="AL49" s="5">
        <v>1923.08</v>
      </c>
      <c r="AM49" s="5">
        <v>2400</v>
      </c>
      <c r="AN49" s="5">
        <v>2600</v>
      </c>
      <c r="AO49" s="5">
        <v>1800</v>
      </c>
      <c r="AP49" s="5">
        <v>2200</v>
      </c>
      <c r="AQ49" s="5">
        <v>2200</v>
      </c>
      <c r="AR49" s="5">
        <v>2300</v>
      </c>
      <c r="AS49" s="5">
        <v>2500</v>
      </c>
    </row>
    <row r="50" spans="2:45" ht="18" thickBot="1" x14ac:dyDescent="0.35">
      <c r="B50" s="58"/>
      <c r="C50" s="5" t="s">
        <v>22</v>
      </c>
      <c r="D50" s="5">
        <v>155000</v>
      </c>
      <c r="E50" s="5">
        <v>155000</v>
      </c>
      <c r="F50" s="5">
        <v>155000</v>
      </c>
      <c r="G50" s="5">
        <v>160000</v>
      </c>
      <c r="H50" s="5">
        <v>145000</v>
      </c>
      <c r="I50" s="5">
        <v>160000</v>
      </c>
      <c r="J50" s="5">
        <v>150000</v>
      </c>
      <c r="K50" s="5">
        <v>155000</v>
      </c>
      <c r="L50" s="5">
        <v>160000</v>
      </c>
      <c r="M50" s="5">
        <v>62</v>
      </c>
      <c r="N50" s="5">
        <v>52</v>
      </c>
      <c r="O50" s="5">
        <v>52</v>
      </c>
      <c r="P50" s="5">
        <v>20</v>
      </c>
      <c r="Q50" s="5">
        <v>25</v>
      </c>
      <c r="R50" s="5">
        <v>35</v>
      </c>
      <c r="S50" s="5">
        <v>21</v>
      </c>
      <c r="T50" s="5">
        <v>24</v>
      </c>
      <c r="U50" s="5">
        <v>22</v>
      </c>
      <c r="V50" s="5">
        <v>17</v>
      </c>
      <c r="W50" s="5">
        <v>16</v>
      </c>
      <c r="X50" s="5">
        <v>23</v>
      </c>
      <c r="Y50" s="5">
        <v>6200</v>
      </c>
      <c r="Z50" s="5">
        <v>6300</v>
      </c>
      <c r="AA50" s="5">
        <v>9000</v>
      </c>
      <c r="AB50" s="5">
        <v>295.24</v>
      </c>
      <c r="AC50" s="5">
        <v>262.5</v>
      </c>
      <c r="AD50" s="5">
        <v>409.09</v>
      </c>
      <c r="AE50" s="5">
        <v>350</v>
      </c>
      <c r="AF50" s="5">
        <v>450</v>
      </c>
      <c r="AG50" s="5">
        <v>350</v>
      </c>
      <c r="AH50" s="5">
        <v>405</v>
      </c>
      <c r="AI50" s="5">
        <v>370</v>
      </c>
      <c r="AJ50" s="5">
        <v>350</v>
      </c>
      <c r="AK50" s="5">
        <v>2500</v>
      </c>
      <c r="AL50" s="5">
        <v>2980.77</v>
      </c>
      <c r="AM50" s="5">
        <v>2980.77</v>
      </c>
      <c r="AN50" s="5">
        <v>2400</v>
      </c>
      <c r="AO50" s="5">
        <v>2800</v>
      </c>
      <c r="AP50" s="5">
        <v>2890</v>
      </c>
      <c r="AQ50" s="5">
        <v>2200</v>
      </c>
      <c r="AR50" s="5">
        <v>2300</v>
      </c>
      <c r="AS50" s="5">
        <v>2500</v>
      </c>
    </row>
    <row r="51" spans="2:45" ht="18" thickBot="1" x14ac:dyDescent="0.35">
      <c r="B51" s="58"/>
      <c r="C51" s="5" t="s">
        <v>23</v>
      </c>
      <c r="D51" s="5">
        <v>140000</v>
      </c>
      <c r="E51" s="5">
        <v>170000</v>
      </c>
      <c r="F51" s="5">
        <v>155000</v>
      </c>
      <c r="G51" s="5">
        <v>160000</v>
      </c>
      <c r="H51" s="5">
        <v>145000</v>
      </c>
      <c r="I51" s="5">
        <v>160000</v>
      </c>
      <c r="J51" s="5">
        <v>150000</v>
      </c>
      <c r="K51" s="5">
        <v>180000</v>
      </c>
      <c r="L51" s="5">
        <v>140000</v>
      </c>
      <c r="M51" s="5">
        <v>65</v>
      </c>
      <c r="N51" s="5">
        <v>50</v>
      </c>
      <c r="O51" s="5">
        <v>70</v>
      </c>
      <c r="P51" s="5">
        <v>20</v>
      </c>
      <c r="Q51" s="5">
        <v>25</v>
      </c>
      <c r="R51" s="5">
        <v>35</v>
      </c>
      <c r="S51" s="5">
        <v>30</v>
      </c>
      <c r="T51" s="5">
        <v>16</v>
      </c>
      <c r="U51" s="5">
        <v>18</v>
      </c>
      <c r="V51" s="5">
        <v>25</v>
      </c>
      <c r="W51" s="5">
        <v>21</v>
      </c>
      <c r="X51" s="5">
        <v>20</v>
      </c>
      <c r="Y51" s="5">
        <v>9800</v>
      </c>
      <c r="Z51" s="5">
        <v>8000</v>
      </c>
      <c r="AA51" s="5">
        <v>7500</v>
      </c>
      <c r="AB51" s="5">
        <v>326.67</v>
      </c>
      <c r="AC51" s="5">
        <v>500</v>
      </c>
      <c r="AD51" s="5">
        <v>416.67</v>
      </c>
      <c r="AE51" s="5">
        <v>350</v>
      </c>
      <c r="AF51" s="5">
        <v>450</v>
      </c>
      <c r="AG51" s="5">
        <v>350</v>
      </c>
      <c r="AH51" s="5">
        <v>385</v>
      </c>
      <c r="AI51" s="5">
        <v>350</v>
      </c>
      <c r="AJ51" s="5">
        <v>410</v>
      </c>
      <c r="AK51" s="5">
        <v>2153.85</v>
      </c>
      <c r="AL51" s="5">
        <v>3400</v>
      </c>
      <c r="AM51" s="5">
        <v>2214.29</v>
      </c>
      <c r="AN51" s="5">
        <v>1900</v>
      </c>
      <c r="AO51" s="5">
        <v>3000</v>
      </c>
      <c r="AP51" s="5">
        <v>2100</v>
      </c>
      <c r="AQ51" s="5">
        <v>2200</v>
      </c>
      <c r="AR51" s="5">
        <v>2300</v>
      </c>
      <c r="AS51" s="5">
        <v>2500</v>
      </c>
    </row>
    <row r="52" spans="2:45" ht="18" thickBot="1" x14ac:dyDescent="0.35">
      <c r="B52" s="58"/>
      <c r="C52" s="6" t="s">
        <v>24</v>
      </c>
      <c r="D52" s="6">
        <f t="shared" ref="D52:AA52" si="4">SUM(D47:D51)</f>
        <v>780000</v>
      </c>
      <c r="E52" s="6">
        <f t="shared" si="4"/>
        <v>745000</v>
      </c>
      <c r="F52" s="6">
        <f t="shared" si="4"/>
        <v>760000</v>
      </c>
      <c r="G52" s="6">
        <f t="shared" si="4"/>
        <v>800000</v>
      </c>
      <c r="H52" s="6">
        <f t="shared" si="4"/>
        <v>725000</v>
      </c>
      <c r="I52" s="6">
        <f t="shared" si="4"/>
        <v>800000</v>
      </c>
      <c r="J52" s="6">
        <f t="shared" si="4"/>
        <v>715000</v>
      </c>
      <c r="K52" s="6">
        <f t="shared" si="4"/>
        <v>740000</v>
      </c>
      <c r="L52" s="6">
        <f t="shared" si="4"/>
        <v>690000</v>
      </c>
      <c r="M52" s="6">
        <f t="shared" si="4"/>
        <v>294</v>
      </c>
      <c r="N52" s="6">
        <f t="shared" si="4"/>
        <v>267</v>
      </c>
      <c r="O52" s="6">
        <f t="shared" si="4"/>
        <v>297</v>
      </c>
      <c r="P52" s="6">
        <f t="shared" si="4"/>
        <v>100</v>
      </c>
      <c r="Q52" s="6">
        <f t="shared" si="4"/>
        <v>125</v>
      </c>
      <c r="R52" s="6">
        <f t="shared" si="4"/>
        <v>175</v>
      </c>
      <c r="S52" s="6">
        <f t="shared" si="4"/>
        <v>102</v>
      </c>
      <c r="T52" s="6">
        <f t="shared" si="4"/>
        <v>100</v>
      </c>
      <c r="U52" s="6">
        <f t="shared" si="4"/>
        <v>99</v>
      </c>
      <c r="V52" s="6">
        <f t="shared" si="4"/>
        <v>102</v>
      </c>
      <c r="W52" s="6">
        <f t="shared" si="4"/>
        <v>91</v>
      </c>
      <c r="X52" s="6">
        <f t="shared" si="4"/>
        <v>87</v>
      </c>
      <c r="Y52" s="6">
        <f t="shared" si="4"/>
        <v>38500</v>
      </c>
      <c r="Z52" s="6">
        <f t="shared" si="4"/>
        <v>35300</v>
      </c>
      <c r="AA52" s="6">
        <f t="shared" si="4"/>
        <v>32000</v>
      </c>
      <c r="AB52" s="6">
        <f t="shared" ref="AB52:AS52" si="5">AVERAGE(AB47:AB51)</f>
        <v>393.82</v>
      </c>
      <c r="AC52" s="6">
        <f t="shared" si="5"/>
        <v>363.63599999999997</v>
      </c>
      <c r="AD52" s="6">
        <f t="shared" si="5"/>
        <v>328.68</v>
      </c>
      <c r="AE52" s="6">
        <f t="shared" si="5"/>
        <v>350</v>
      </c>
      <c r="AF52" s="6">
        <f t="shared" si="5"/>
        <v>450</v>
      </c>
      <c r="AG52" s="6">
        <f t="shared" si="5"/>
        <v>350</v>
      </c>
      <c r="AH52" s="6">
        <f t="shared" si="5"/>
        <v>387</v>
      </c>
      <c r="AI52" s="6">
        <f t="shared" si="5"/>
        <v>371</v>
      </c>
      <c r="AJ52" s="6">
        <f t="shared" si="5"/>
        <v>378</v>
      </c>
      <c r="AK52" s="6">
        <f t="shared" si="5"/>
        <v>2709.0160000000001</v>
      </c>
      <c r="AL52" s="6">
        <f t="shared" si="5"/>
        <v>2854.7080000000001</v>
      </c>
      <c r="AM52" s="6">
        <f t="shared" si="5"/>
        <v>2571.576</v>
      </c>
      <c r="AN52" s="6">
        <f t="shared" si="5"/>
        <v>2440</v>
      </c>
      <c r="AO52" s="6">
        <f t="shared" si="5"/>
        <v>2620</v>
      </c>
      <c r="AP52" s="6">
        <f t="shared" si="5"/>
        <v>2298</v>
      </c>
      <c r="AQ52" s="6">
        <f t="shared" si="5"/>
        <v>2200</v>
      </c>
      <c r="AR52" s="6">
        <f t="shared" si="5"/>
        <v>2300</v>
      </c>
      <c r="AS52" s="6">
        <f t="shared" si="5"/>
        <v>2500</v>
      </c>
    </row>
    <row r="53" spans="2:45" ht="18" thickBot="1" x14ac:dyDescent="0.35">
      <c r="B53" s="41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</row>
    <row r="54" spans="2:45" ht="15" thickBot="1" x14ac:dyDescent="0.35"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</row>
    <row r="55" spans="2:45" ht="15" thickBot="1" x14ac:dyDescent="0.35">
      <c r="B55" s="58" t="s">
        <v>33</v>
      </c>
      <c r="C55" s="62" t="s">
        <v>0</v>
      </c>
      <c r="D55" s="1" t="s">
        <v>34</v>
      </c>
      <c r="E55" s="1" t="s">
        <v>35</v>
      </c>
      <c r="F55" s="2" t="s">
        <v>36</v>
      </c>
      <c r="G55" s="1" t="s">
        <v>34</v>
      </c>
      <c r="H55" s="1" t="s">
        <v>35</v>
      </c>
      <c r="I55" s="2" t="s">
        <v>36</v>
      </c>
      <c r="J55" s="1" t="s">
        <v>34</v>
      </c>
      <c r="K55" s="1" t="s">
        <v>35</v>
      </c>
      <c r="L55" s="2" t="s">
        <v>36</v>
      </c>
      <c r="M55" s="1" t="s">
        <v>34</v>
      </c>
      <c r="N55" s="1" t="s">
        <v>35</v>
      </c>
      <c r="O55" s="2" t="s">
        <v>36</v>
      </c>
      <c r="P55" s="1" t="s">
        <v>34</v>
      </c>
      <c r="Q55" s="1" t="s">
        <v>35</v>
      </c>
      <c r="R55" s="2" t="s">
        <v>36</v>
      </c>
      <c r="S55" s="1" t="s">
        <v>34</v>
      </c>
      <c r="T55" s="1" t="s">
        <v>35</v>
      </c>
      <c r="U55" s="2" t="s">
        <v>36</v>
      </c>
      <c r="V55" s="1" t="s">
        <v>34</v>
      </c>
      <c r="W55" s="1" t="s">
        <v>35</v>
      </c>
      <c r="X55" s="2" t="s">
        <v>36</v>
      </c>
      <c r="Y55" s="1" t="s">
        <v>34</v>
      </c>
      <c r="Z55" s="1" t="s">
        <v>35</v>
      </c>
      <c r="AA55" s="2" t="s">
        <v>36</v>
      </c>
      <c r="AB55" s="1" t="s">
        <v>34</v>
      </c>
      <c r="AC55" s="1" t="s">
        <v>35</v>
      </c>
      <c r="AD55" s="2" t="s">
        <v>36</v>
      </c>
      <c r="AE55" s="1" t="s">
        <v>34</v>
      </c>
      <c r="AF55" s="1" t="s">
        <v>35</v>
      </c>
      <c r="AG55" s="2" t="s">
        <v>36</v>
      </c>
      <c r="AH55" s="1" t="s">
        <v>34</v>
      </c>
      <c r="AI55" s="1" t="s">
        <v>35</v>
      </c>
      <c r="AJ55" s="2" t="s">
        <v>36</v>
      </c>
      <c r="AK55" s="1" t="s">
        <v>34</v>
      </c>
      <c r="AL55" s="1" t="s">
        <v>35</v>
      </c>
      <c r="AM55" s="2" t="s">
        <v>36</v>
      </c>
      <c r="AN55" s="1" t="s">
        <v>34</v>
      </c>
      <c r="AO55" s="1" t="s">
        <v>35</v>
      </c>
      <c r="AP55" s="2" t="s">
        <v>36</v>
      </c>
      <c r="AQ55" s="1" t="s">
        <v>34</v>
      </c>
      <c r="AR55" s="1" t="s">
        <v>35</v>
      </c>
      <c r="AS55" s="2" t="s">
        <v>36</v>
      </c>
    </row>
    <row r="56" spans="2:45" ht="15" thickBot="1" x14ac:dyDescent="0.35">
      <c r="B56" s="58"/>
      <c r="C56" s="60"/>
      <c r="D56" s="3" t="s">
        <v>5</v>
      </c>
      <c r="E56" s="3" t="s">
        <v>5</v>
      </c>
      <c r="F56" s="4" t="s">
        <v>5</v>
      </c>
      <c r="G56" s="3" t="s">
        <v>6</v>
      </c>
      <c r="H56" s="3" t="s">
        <v>6</v>
      </c>
      <c r="I56" s="4" t="s">
        <v>6</v>
      </c>
      <c r="J56" s="3" t="s">
        <v>7</v>
      </c>
      <c r="K56" s="3" t="s">
        <v>7</v>
      </c>
      <c r="L56" s="4" t="s">
        <v>7</v>
      </c>
      <c r="M56" s="3" t="s">
        <v>8</v>
      </c>
      <c r="N56" s="3" t="s">
        <v>8</v>
      </c>
      <c r="O56" s="4" t="s">
        <v>8</v>
      </c>
      <c r="P56" s="3" t="s">
        <v>9</v>
      </c>
      <c r="Q56" s="3" t="s">
        <v>9</v>
      </c>
      <c r="R56" s="4" t="s">
        <v>9</v>
      </c>
      <c r="S56" s="3" t="s">
        <v>10</v>
      </c>
      <c r="T56" s="3" t="s">
        <v>10</v>
      </c>
      <c r="U56" s="4" t="s">
        <v>10</v>
      </c>
      <c r="V56" s="3" t="s">
        <v>11</v>
      </c>
      <c r="W56" s="3" t="s">
        <v>11</v>
      </c>
      <c r="X56" s="4" t="s">
        <v>11</v>
      </c>
      <c r="Y56" s="3" t="s">
        <v>12</v>
      </c>
      <c r="Z56" s="3" t="s">
        <v>12</v>
      </c>
      <c r="AA56" s="4" t="s">
        <v>12</v>
      </c>
      <c r="AB56" s="3" t="s">
        <v>13</v>
      </c>
      <c r="AC56" s="3" t="s">
        <v>13</v>
      </c>
      <c r="AD56" s="4" t="s">
        <v>13</v>
      </c>
      <c r="AE56" s="3" t="s">
        <v>14</v>
      </c>
      <c r="AF56" s="3" t="s">
        <v>14</v>
      </c>
      <c r="AG56" s="4" t="s">
        <v>14</v>
      </c>
      <c r="AH56" s="3" t="s">
        <v>15</v>
      </c>
      <c r="AI56" s="3" t="s">
        <v>15</v>
      </c>
      <c r="AJ56" s="4" t="s">
        <v>15</v>
      </c>
      <c r="AK56" s="3" t="s">
        <v>16</v>
      </c>
      <c r="AL56" s="3" t="s">
        <v>16</v>
      </c>
      <c r="AM56" s="4" t="s">
        <v>16</v>
      </c>
      <c r="AN56" s="3" t="s">
        <v>17</v>
      </c>
      <c r="AO56" s="3" t="s">
        <v>17</v>
      </c>
      <c r="AP56" s="4" t="s">
        <v>17</v>
      </c>
      <c r="AQ56" s="3" t="s">
        <v>18</v>
      </c>
      <c r="AR56" s="3" t="s">
        <v>18</v>
      </c>
      <c r="AS56" s="4" t="s">
        <v>18</v>
      </c>
    </row>
    <row r="57" spans="2:45" ht="18" thickBot="1" x14ac:dyDescent="0.35">
      <c r="B57" s="58"/>
      <c r="C57" s="5" t="s">
        <v>19</v>
      </c>
      <c r="D57" s="5">
        <v>145000</v>
      </c>
      <c r="E57" s="5">
        <v>150000</v>
      </c>
      <c r="F57" s="5">
        <v>150000</v>
      </c>
      <c r="G57" s="5">
        <v>165000</v>
      </c>
      <c r="H57" s="5">
        <v>155000</v>
      </c>
      <c r="I57" s="5">
        <v>145000</v>
      </c>
      <c r="J57" s="5">
        <v>155000</v>
      </c>
      <c r="K57" s="5">
        <v>125000</v>
      </c>
      <c r="L57" s="5">
        <v>145000</v>
      </c>
      <c r="M57" s="5">
        <v>75</v>
      </c>
      <c r="N57" s="5">
        <v>76</v>
      </c>
      <c r="O57" s="5">
        <v>80</v>
      </c>
      <c r="P57" s="5">
        <v>20</v>
      </c>
      <c r="Q57" s="5">
        <v>20</v>
      </c>
      <c r="R57" s="5">
        <v>20</v>
      </c>
      <c r="S57" s="5">
        <v>15</v>
      </c>
      <c r="T57" s="5">
        <v>22</v>
      </c>
      <c r="U57" s="5">
        <v>25</v>
      </c>
      <c r="V57" s="5">
        <v>21</v>
      </c>
      <c r="W57" s="5">
        <v>17</v>
      </c>
      <c r="X57" s="5">
        <v>16</v>
      </c>
      <c r="Y57" s="5">
        <v>4700</v>
      </c>
      <c r="Z57" s="5">
        <v>7000</v>
      </c>
      <c r="AA57" s="5">
        <v>6000</v>
      </c>
      <c r="AB57" s="5">
        <v>313.33</v>
      </c>
      <c r="AC57" s="5">
        <v>318.18</v>
      </c>
      <c r="AD57" s="5">
        <v>240</v>
      </c>
      <c r="AE57" s="5">
        <v>350</v>
      </c>
      <c r="AF57" s="5">
        <v>350</v>
      </c>
      <c r="AG57" s="5">
        <v>300</v>
      </c>
      <c r="AH57" s="5">
        <v>410</v>
      </c>
      <c r="AI57" s="5">
        <v>385</v>
      </c>
      <c r="AJ57" s="5">
        <v>390</v>
      </c>
      <c r="AK57" s="5">
        <v>1866.67</v>
      </c>
      <c r="AL57" s="5">
        <v>1973.68</v>
      </c>
      <c r="AM57" s="5">
        <v>1875</v>
      </c>
      <c r="AN57" s="5">
        <v>2500</v>
      </c>
      <c r="AO57" s="5">
        <v>2700</v>
      </c>
      <c r="AP57" s="5">
        <v>2400</v>
      </c>
      <c r="AQ57" s="5">
        <v>2450</v>
      </c>
      <c r="AR57" s="5">
        <v>2700</v>
      </c>
      <c r="AS57" s="5">
        <v>2350</v>
      </c>
    </row>
    <row r="58" spans="2:45" ht="18" thickBot="1" x14ac:dyDescent="0.35">
      <c r="B58" s="58"/>
      <c r="C58" s="5" t="s">
        <v>20</v>
      </c>
      <c r="D58" s="5">
        <v>115000</v>
      </c>
      <c r="E58" s="5">
        <v>140000</v>
      </c>
      <c r="F58" s="5">
        <v>170000</v>
      </c>
      <c r="G58" s="5">
        <v>165000</v>
      </c>
      <c r="H58" s="5">
        <v>155000</v>
      </c>
      <c r="I58" s="5">
        <v>145000</v>
      </c>
      <c r="J58" s="5">
        <v>140000</v>
      </c>
      <c r="K58" s="5">
        <v>125000</v>
      </c>
      <c r="L58" s="5">
        <v>130000</v>
      </c>
      <c r="M58" s="5">
        <v>65</v>
      </c>
      <c r="N58" s="5">
        <v>85</v>
      </c>
      <c r="O58" s="5">
        <v>70</v>
      </c>
      <c r="P58" s="5">
        <v>20</v>
      </c>
      <c r="Q58" s="5">
        <v>20</v>
      </c>
      <c r="R58" s="5">
        <v>20</v>
      </c>
      <c r="S58" s="5">
        <v>25</v>
      </c>
      <c r="T58" s="5">
        <v>18</v>
      </c>
      <c r="U58" s="5">
        <v>24</v>
      </c>
      <c r="V58" s="5">
        <v>16</v>
      </c>
      <c r="W58" s="5">
        <v>14</v>
      </c>
      <c r="X58" s="5">
        <v>21</v>
      </c>
      <c r="Y58" s="5">
        <v>6000</v>
      </c>
      <c r="Z58" s="5">
        <v>5000</v>
      </c>
      <c r="AA58" s="5">
        <v>8500</v>
      </c>
      <c r="AB58" s="5">
        <v>240</v>
      </c>
      <c r="AC58" s="5">
        <v>277.77999999999997</v>
      </c>
      <c r="AD58" s="5">
        <v>354.17</v>
      </c>
      <c r="AE58" s="5">
        <v>350</v>
      </c>
      <c r="AF58" s="5">
        <v>350</v>
      </c>
      <c r="AG58" s="5">
        <v>300</v>
      </c>
      <c r="AH58" s="5">
        <v>408</v>
      </c>
      <c r="AI58" s="5">
        <v>350</v>
      </c>
      <c r="AJ58" s="5">
        <v>370</v>
      </c>
      <c r="AK58" s="5">
        <v>1769.23</v>
      </c>
      <c r="AL58" s="5">
        <v>1647.06</v>
      </c>
      <c r="AM58" s="5">
        <v>2428.5700000000002</v>
      </c>
      <c r="AN58" s="5">
        <v>1800</v>
      </c>
      <c r="AO58" s="5">
        <v>2200</v>
      </c>
      <c r="AP58" s="5">
        <v>2300</v>
      </c>
      <c r="AQ58" s="5">
        <v>2450</v>
      </c>
      <c r="AR58" s="5">
        <v>2700</v>
      </c>
      <c r="AS58" s="5">
        <v>2350</v>
      </c>
    </row>
    <row r="59" spans="2:45" ht="18" thickBot="1" x14ac:dyDescent="0.35">
      <c r="B59" s="58"/>
      <c r="C59" s="5" t="s">
        <v>21</v>
      </c>
      <c r="D59" s="5">
        <v>165000</v>
      </c>
      <c r="E59" s="5">
        <v>140000</v>
      </c>
      <c r="F59" s="5">
        <v>145000</v>
      </c>
      <c r="G59" s="5">
        <v>165000</v>
      </c>
      <c r="H59" s="5">
        <v>155000</v>
      </c>
      <c r="I59" s="5">
        <v>145000</v>
      </c>
      <c r="J59" s="5">
        <v>165000</v>
      </c>
      <c r="K59" s="5">
        <v>150000</v>
      </c>
      <c r="L59" s="5">
        <v>155000</v>
      </c>
      <c r="M59" s="5">
        <v>65</v>
      </c>
      <c r="N59" s="5">
        <v>72</v>
      </c>
      <c r="O59" s="5">
        <v>78</v>
      </c>
      <c r="P59" s="5">
        <v>20</v>
      </c>
      <c r="Q59" s="5">
        <v>20</v>
      </c>
      <c r="R59" s="5">
        <v>20</v>
      </c>
      <c r="S59" s="5">
        <v>25</v>
      </c>
      <c r="T59" s="5">
        <v>17</v>
      </c>
      <c r="U59" s="5">
        <v>14</v>
      </c>
      <c r="V59" s="5">
        <v>15</v>
      </c>
      <c r="W59" s="5">
        <v>21</v>
      </c>
      <c r="X59" s="5">
        <v>20</v>
      </c>
      <c r="Y59" s="5">
        <v>4000</v>
      </c>
      <c r="Z59" s="5">
        <v>8000</v>
      </c>
      <c r="AA59" s="5">
        <v>8000</v>
      </c>
      <c r="AB59" s="5">
        <v>160</v>
      </c>
      <c r="AC59" s="5">
        <v>470.59</v>
      </c>
      <c r="AD59" s="5">
        <v>571.42999999999995</v>
      </c>
      <c r="AE59" s="5">
        <v>350</v>
      </c>
      <c r="AF59" s="5">
        <v>350</v>
      </c>
      <c r="AG59" s="5">
        <v>300</v>
      </c>
      <c r="AH59" s="5">
        <v>345</v>
      </c>
      <c r="AI59" s="5">
        <v>405</v>
      </c>
      <c r="AJ59" s="5">
        <v>352</v>
      </c>
      <c r="AK59" s="5">
        <v>2538.46</v>
      </c>
      <c r="AL59" s="5">
        <v>1944.44</v>
      </c>
      <c r="AM59" s="5">
        <v>1858.97</v>
      </c>
      <c r="AN59" s="5">
        <v>2500</v>
      </c>
      <c r="AO59" s="5">
        <v>2500</v>
      </c>
      <c r="AP59" s="5">
        <v>2600</v>
      </c>
      <c r="AQ59" s="5">
        <v>2450</v>
      </c>
      <c r="AR59" s="5">
        <v>2700</v>
      </c>
      <c r="AS59" s="5">
        <v>2350</v>
      </c>
    </row>
    <row r="60" spans="2:45" ht="18" thickBot="1" x14ac:dyDescent="0.35">
      <c r="B60" s="58"/>
      <c r="C60" s="5" t="s">
        <v>22</v>
      </c>
      <c r="D60" s="5">
        <v>125000</v>
      </c>
      <c r="E60" s="5">
        <v>155000</v>
      </c>
      <c r="F60" s="5">
        <v>155000</v>
      </c>
      <c r="G60" s="5">
        <v>165000</v>
      </c>
      <c r="H60" s="5">
        <v>155000</v>
      </c>
      <c r="I60" s="5">
        <v>145000</v>
      </c>
      <c r="J60" s="5">
        <v>150000</v>
      </c>
      <c r="K60" s="5">
        <v>145000</v>
      </c>
      <c r="L60" s="5">
        <v>125000</v>
      </c>
      <c r="M60" s="5">
        <v>65</v>
      </c>
      <c r="N60" s="5">
        <v>70</v>
      </c>
      <c r="O60" s="5">
        <v>85</v>
      </c>
      <c r="P60" s="5">
        <v>20</v>
      </c>
      <c r="Q60" s="5">
        <v>20</v>
      </c>
      <c r="R60" s="5">
        <v>20</v>
      </c>
      <c r="S60" s="5">
        <v>19</v>
      </c>
      <c r="T60" s="5">
        <v>15</v>
      </c>
      <c r="U60" s="5">
        <v>21</v>
      </c>
      <c r="V60" s="5">
        <v>22</v>
      </c>
      <c r="W60" s="5">
        <v>20</v>
      </c>
      <c r="X60" s="5">
        <v>17</v>
      </c>
      <c r="Y60" s="5">
        <v>9000</v>
      </c>
      <c r="Z60" s="5">
        <v>8500</v>
      </c>
      <c r="AA60" s="5">
        <v>7000</v>
      </c>
      <c r="AB60" s="5">
        <v>473.68</v>
      </c>
      <c r="AC60" s="5">
        <v>566.66999999999996</v>
      </c>
      <c r="AD60" s="5">
        <v>333.33</v>
      </c>
      <c r="AE60" s="5">
        <v>350</v>
      </c>
      <c r="AF60" s="5">
        <v>350</v>
      </c>
      <c r="AG60" s="5">
        <v>300</v>
      </c>
      <c r="AH60" s="5">
        <v>350</v>
      </c>
      <c r="AI60" s="5">
        <v>400</v>
      </c>
      <c r="AJ60" s="5">
        <v>388</v>
      </c>
      <c r="AK60" s="5">
        <v>1923.08</v>
      </c>
      <c r="AL60" s="5">
        <v>2214.29</v>
      </c>
      <c r="AM60" s="5">
        <v>1823.53</v>
      </c>
      <c r="AN60" s="5">
        <v>2100</v>
      </c>
      <c r="AO60" s="5">
        <v>2400</v>
      </c>
      <c r="AP60" s="5">
        <v>2400</v>
      </c>
      <c r="AQ60" s="5">
        <v>2450</v>
      </c>
      <c r="AR60" s="5">
        <v>2700</v>
      </c>
      <c r="AS60" s="5">
        <v>2350</v>
      </c>
    </row>
    <row r="61" spans="2:45" ht="18" thickBot="1" x14ac:dyDescent="0.35">
      <c r="B61" s="58"/>
      <c r="C61" s="5" t="s">
        <v>23</v>
      </c>
      <c r="D61" s="5">
        <v>150000</v>
      </c>
      <c r="E61" s="5">
        <v>130000</v>
      </c>
      <c r="F61" s="5">
        <v>150000</v>
      </c>
      <c r="G61" s="5">
        <v>165000</v>
      </c>
      <c r="H61" s="5">
        <v>155000</v>
      </c>
      <c r="I61" s="5">
        <v>145000</v>
      </c>
      <c r="J61" s="5">
        <v>170000</v>
      </c>
      <c r="K61" s="5">
        <v>155000</v>
      </c>
      <c r="L61" s="5">
        <v>130000</v>
      </c>
      <c r="M61" s="5">
        <v>75</v>
      </c>
      <c r="N61" s="5">
        <v>63</v>
      </c>
      <c r="O61" s="5">
        <v>80</v>
      </c>
      <c r="P61" s="5">
        <v>20</v>
      </c>
      <c r="Q61" s="5">
        <v>20</v>
      </c>
      <c r="R61" s="5">
        <v>20</v>
      </c>
      <c r="S61" s="5">
        <v>24</v>
      </c>
      <c r="T61" s="5">
        <v>15</v>
      </c>
      <c r="U61" s="5">
        <v>30</v>
      </c>
      <c r="V61" s="5">
        <v>23</v>
      </c>
      <c r="W61" s="5">
        <v>24</v>
      </c>
      <c r="X61" s="5">
        <v>20</v>
      </c>
      <c r="Y61" s="5">
        <v>9500</v>
      </c>
      <c r="Z61" s="5">
        <v>9000</v>
      </c>
      <c r="AA61" s="5">
        <v>8000</v>
      </c>
      <c r="AB61" s="5">
        <v>395.83</v>
      </c>
      <c r="AC61" s="5">
        <v>600</v>
      </c>
      <c r="AD61" s="5">
        <v>266.67</v>
      </c>
      <c r="AE61" s="5">
        <v>350</v>
      </c>
      <c r="AF61" s="5">
        <v>350</v>
      </c>
      <c r="AG61" s="5">
        <v>300</v>
      </c>
      <c r="AH61" s="5">
        <v>360</v>
      </c>
      <c r="AI61" s="5">
        <v>350</v>
      </c>
      <c r="AJ61" s="5">
        <v>425</v>
      </c>
      <c r="AK61" s="5">
        <v>2000</v>
      </c>
      <c r="AL61" s="5">
        <v>2063.4899999999998</v>
      </c>
      <c r="AM61" s="5">
        <v>1875</v>
      </c>
      <c r="AN61" s="5">
        <v>2100</v>
      </c>
      <c r="AO61" s="5">
        <v>2800</v>
      </c>
      <c r="AP61" s="5">
        <v>3000</v>
      </c>
      <c r="AQ61" s="5">
        <v>2450</v>
      </c>
      <c r="AR61" s="5">
        <v>2700</v>
      </c>
      <c r="AS61" s="5">
        <v>2350</v>
      </c>
    </row>
    <row r="62" spans="2:45" ht="18" thickBot="1" x14ac:dyDescent="0.35">
      <c r="B62" s="58"/>
      <c r="C62" s="6" t="s">
        <v>24</v>
      </c>
      <c r="D62" s="6">
        <f t="shared" ref="D62:AA62" si="6">SUM(D57:D61)</f>
        <v>700000</v>
      </c>
      <c r="E62" s="6">
        <f t="shared" si="6"/>
        <v>715000</v>
      </c>
      <c r="F62" s="6">
        <f t="shared" si="6"/>
        <v>770000</v>
      </c>
      <c r="G62" s="6">
        <f t="shared" si="6"/>
        <v>825000</v>
      </c>
      <c r="H62" s="6">
        <f t="shared" si="6"/>
        <v>775000</v>
      </c>
      <c r="I62" s="6">
        <f t="shared" si="6"/>
        <v>725000</v>
      </c>
      <c r="J62" s="6">
        <f t="shared" si="6"/>
        <v>780000</v>
      </c>
      <c r="K62" s="6">
        <f t="shared" si="6"/>
        <v>700000</v>
      </c>
      <c r="L62" s="6">
        <f t="shared" si="6"/>
        <v>685000</v>
      </c>
      <c r="M62" s="6">
        <f t="shared" si="6"/>
        <v>345</v>
      </c>
      <c r="N62" s="6">
        <f t="shared" si="6"/>
        <v>366</v>
      </c>
      <c r="O62" s="6">
        <f t="shared" si="6"/>
        <v>393</v>
      </c>
      <c r="P62" s="6">
        <f t="shared" si="6"/>
        <v>100</v>
      </c>
      <c r="Q62" s="6">
        <f t="shared" si="6"/>
        <v>100</v>
      </c>
      <c r="R62" s="6">
        <f t="shared" si="6"/>
        <v>100</v>
      </c>
      <c r="S62" s="6">
        <f t="shared" si="6"/>
        <v>108</v>
      </c>
      <c r="T62" s="6">
        <f t="shared" si="6"/>
        <v>87</v>
      </c>
      <c r="U62" s="6">
        <f t="shared" si="6"/>
        <v>114</v>
      </c>
      <c r="V62" s="6">
        <f t="shared" si="6"/>
        <v>97</v>
      </c>
      <c r="W62" s="6">
        <f t="shared" si="6"/>
        <v>96</v>
      </c>
      <c r="X62" s="6">
        <f t="shared" si="6"/>
        <v>94</v>
      </c>
      <c r="Y62" s="6">
        <f t="shared" si="6"/>
        <v>33200</v>
      </c>
      <c r="Z62" s="6">
        <f t="shared" si="6"/>
        <v>37500</v>
      </c>
      <c r="AA62" s="6">
        <f t="shared" si="6"/>
        <v>37500</v>
      </c>
      <c r="AB62" s="6">
        <f t="shared" ref="AB62:AS62" si="7">AVERAGE(AB57:AB61)</f>
        <v>316.56799999999998</v>
      </c>
      <c r="AC62" s="6">
        <f t="shared" si="7"/>
        <v>446.64399999999995</v>
      </c>
      <c r="AD62" s="6">
        <f t="shared" si="7"/>
        <v>353.12</v>
      </c>
      <c r="AE62" s="6">
        <f t="shared" si="7"/>
        <v>350</v>
      </c>
      <c r="AF62" s="6">
        <f t="shared" si="7"/>
        <v>350</v>
      </c>
      <c r="AG62" s="6">
        <f t="shared" si="7"/>
        <v>300</v>
      </c>
      <c r="AH62" s="6">
        <f t="shared" si="7"/>
        <v>374.6</v>
      </c>
      <c r="AI62" s="6">
        <f t="shared" si="7"/>
        <v>378</v>
      </c>
      <c r="AJ62" s="6">
        <f t="shared" si="7"/>
        <v>385</v>
      </c>
      <c r="AK62" s="6">
        <f t="shared" si="7"/>
        <v>2019.4880000000001</v>
      </c>
      <c r="AL62" s="6">
        <f t="shared" si="7"/>
        <v>1968.5919999999999</v>
      </c>
      <c r="AM62" s="6">
        <f t="shared" si="7"/>
        <v>1972.2139999999999</v>
      </c>
      <c r="AN62" s="6">
        <f t="shared" si="7"/>
        <v>2200</v>
      </c>
      <c r="AO62" s="6">
        <f t="shared" si="7"/>
        <v>2520</v>
      </c>
      <c r="AP62" s="6">
        <f t="shared" si="7"/>
        <v>2540</v>
      </c>
      <c r="AQ62" s="6">
        <f t="shared" si="7"/>
        <v>2450</v>
      </c>
      <c r="AR62" s="6">
        <f t="shared" si="7"/>
        <v>2700</v>
      </c>
      <c r="AS62" s="6">
        <f t="shared" si="7"/>
        <v>2350</v>
      </c>
    </row>
  </sheetData>
  <mergeCells count="11">
    <mergeCell ref="F4:I5"/>
    <mergeCell ref="E22:I23"/>
    <mergeCell ref="B35:B42"/>
    <mergeCell ref="B45:B52"/>
    <mergeCell ref="B55:B62"/>
    <mergeCell ref="C25:C26"/>
    <mergeCell ref="B25:B32"/>
    <mergeCell ref="C55:C56"/>
    <mergeCell ref="C7:C8"/>
    <mergeCell ref="C35:C36"/>
    <mergeCell ref="C45:C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0C6CD-FAF1-47F9-BD27-2902906FB7CD}">
  <dimension ref="B1:Z43"/>
  <sheetViews>
    <sheetView showGridLines="0" tabSelected="1" zoomScale="98" zoomScaleNormal="98" workbookViewId="0">
      <selection activeCell="M1" sqref="M1:O1"/>
    </sheetView>
  </sheetViews>
  <sheetFormatPr defaultRowHeight="14.4" x14ac:dyDescent="0.3"/>
  <cols>
    <col min="3" max="3" width="13.44140625" bestFit="1" customWidth="1"/>
    <col min="17" max="17" width="9.88671875" bestFit="1" customWidth="1"/>
  </cols>
  <sheetData>
    <row r="1" spans="2:26" ht="31.2" x14ac:dyDescent="0.55000000000000004">
      <c r="M1" s="69" t="s">
        <v>29</v>
      </c>
      <c r="N1" s="69"/>
      <c r="O1" s="69"/>
    </row>
    <row r="3" spans="2:26" ht="21" x14ac:dyDescent="0.4">
      <c r="B3" s="76" t="s">
        <v>45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O3" s="66" t="s">
        <v>46</v>
      </c>
      <c r="P3" s="67"/>
      <c r="Q3" s="67"/>
      <c r="R3" s="67"/>
      <c r="S3" s="67"/>
      <c r="T3" s="67"/>
      <c r="U3" s="67"/>
      <c r="V3" s="67"/>
      <c r="W3" s="67"/>
      <c r="X3" s="67"/>
      <c r="Y3" s="67"/>
      <c r="Z3" s="68"/>
    </row>
    <row r="4" spans="2:26" x14ac:dyDescent="0.3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2:26" x14ac:dyDescent="0.3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2:26" x14ac:dyDescent="0.3"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2:26" ht="15.6" x14ac:dyDescent="0.3">
      <c r="B7" s="17"/>
      <c r="C7" s="48">
        <f>SUM(DATA!G14:I14)</f>
        <v>2325000</v>
      </c>
      <c r="D7" s="73" t="s">
        <v>42</v>
      </c>
      <c r="E7" s="73"/>
      <c r="F7" s="17"/>
      <c r="G7" s="17"/>
      <c r="H7" s="17"/>
      <c r="I7" s="17"/>
      <c r="J7" s="17"/>
      <c r="K7" s="17"/>
      <c r="L7" s="17"/>
      <c r="M7" s="17"/>
      <c r="O7" s="17"/>
      <c r="P7" s="50">
        <f>SUM(DATA!S14:U14)</f>
        <v>301</v>
      </c>
      <c r="Q7" s="17"/>
      <c r="R7" s="22" t="s">
        <v>47</v>
      </c>
      <c r="S7" s="17"/>
      <c r="T7" s="17"/>
      <c r="U7" s="17"/>
      <c r="V7" s="17"/>
      <c r="W7" s="17"/>
      <c r="X7" s="17"/>
      <c r="Y7" s="17"/>
      <c r="Z7" s="17"/>
    </row>
    <row r="8" spans="2:26" ht="15.6" x14ac:dyDescent="0.3">
      <c r="B8" s="17"/>
      <c r="C8" s="49"/>
      <c r="D8" s="19"/>
      <c r="E8" s="20"/>
      <c r="F8" s="17"/>
      <c r="G8" s="17"/>
      <c r="H8" s="17"/>
      <c r="I8" s="17"/>
      <c r="J8" s="17"/>
      <c r="K8" s="17"/>
      <c r="L8" s="17"/>
      <c r="M8" s="17"/>
      <c r="O8" s="17"/>
      <c r="P8" s="49"/>
      <c r="Q8" s="17"/>
      <c r="R8" s="18"/>
      <c r="S8" s="17"/>
      <c r="T8" s="17"/>
      <c r="U8" s="17"/>
      <c r="V8" s="17"/>
      <c r="W8" s="17"/>
      <c r="X8" s="17"/>
      <c r="Y8" s="17"/>
      <c r="Z8" s="17"/>
    </row>
    <row r="9" spans="2:26" ht="31.2" customHeight="1" x14ac:dyDescent="0.3">
      <c r="B9" s="17"/>
      <c r="C9" s="48">
        <f>SUM(DATA!J14:L14)</f>
        <v>2145000</v>
      </c>
      <c r="D9" s="74" t="s">
        <v>44</v>
      </c>
      <c r="E9" s="73"/>
      <c r="F9" s="17"/>
      <c r="G9" s="17"/>
      <c r="H9" s="17"/>
      <c r="I9" s="17"/>
      <c r="J9" s="17"/>
      <c r="K9" s="17"/>
      <c r="L9" s="17"/>
      <c r="M9" s="17"/>
      <c r="O9" s="17"/>
      <c r="P9" s="50">
        <f>SUM(DATA!P14:R14)</f>
        <v>400</v>
      </c>
      <c r="Q9" s="17"/>
      <c r="R9" s="22" t="s">
        <v>49</v>
      </c>
      <c r="S9" s="17"/>
      <c r="T9" s="17"/>
      <c r="U9" s="17"/>
      <c r="V9" s="17"/>
      <c r="W9" s="17"/>
      <c r="X9" s="17"/>
      <c r="Y9" s="17"/>
      <c r="Z9" s="17"/>
    </row>
    <row r="10" spans="2:26" ht="15.6" x14ac:dyDescent="0.3">
      <c r="B10" s="17"/>
      <c r="C10" s="17"/>
      <c r="D10" s="19"/>
      <c r="E10" s="20"/>
      <c r="F10" s="17"/>
      <c r="G10" s="17"/>
      <c r="H10" s="17"/>
      <c r="I10" s="17"/>
      <c r="J10" s="17"/>
      <c r="K10" s="17"/>
      <c r="L10" s="17"/>
      <c r="M10" s="17"/>
      <c r="O10" s="17"/>
      <c r="P10" s="17"/>
      <c r="Q10" s="17"/>
      <c r="R10" s="18"/>
      <c r="S10" s="17"/>
      <c r="T10" s="17"/>
      <c r="U10" s="17"/>
      <c r="V10" s="17"/>
      <c r="W10" s="17"/>
      <c r="X10" s="17"/>
      <c r="Y10" s="17"/>
      <c r="Z10" s="17"/>
    </row>
    <row r="11" spans="2:26" ht="15.6" x14ac:dyDescent="0.3"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O11" s="17"/>
      <c r="P11" s="23">
        <f>P9/P7</f>
        <v>1.3289036544850499</v>
      </c>
      <c r="Q11" s="17"/>
      <c r="R11" s="22" t="s">
        <v>48</v>
      </c>
      <c r="S11" s="17"/>
      <c r="T11" s="17"/>
      <c r="U11" s="17"/>
      <c r="V11" s="17"/>
      <c r="W11" s="17"/>
      <c r="X11" s="17"/>
      <c r="Y11" s="17"/>
      <c r="Z11" s="17"/>
    </row>
    <row r="12" spans="2:26" ht="15.6" x14ac:dyDescent="0.3">
      <c r="B12" s="17"/>
      <c r="C12" s="21">
        <f>C7/C9</f>
        <v>1.083916083916084</v>
      </c>
      <c r="D12" s="75" t="s">
        <v>43</v>
      </c>
      <c r="E12" s="75"/>
      <c r="F12" s="17"/>
      <c r="G12" s="17"/>
      <c r="H12" s="17"/>
      <c r="I12" s="17"/>
      <c r="J12" s="17"/>
      <c r="K12" s="17"/>
      <c r="L12" s="17"/>
      <c r="M12" s="17"/>
      <c r="O12" s="17"/>
      <c r="P12" s="17"/>
      <c r="Q12" s="17"/>
      <c r="R12" s="18"/>
      <c r="S12" s="17"/>
      <c r="T12" s="17"/>
      <c r="U12" s="17"/>
      <c r="V12" s="17"/>
      <c r="W12" s="17"/>
      <c r="X12" s="17"/>
      <c r="Y12" s="17"/>
      <c r="Z12" s="17"/>
    </row>
    <row r="13" spans="2:26" x14ac:dyDescent="0.3"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2:26" x14ac:dyDescent="0.3"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2:26" x14ac:dyDescent="0.3"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2:26" x14ac:dyDescent="0.3"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6" x14ac:dyDescent="0.3"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6" x14ac:dyDescent="0.3"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2:26" x14ac:dyDescent="0.3"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2:26" x14ac:dyDescent="0.3"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4" spans="2:26" ht="19.2" customHeight="1" x14ac:dyDescent="0.4">
      <c r="B24" s="70" t="s">
        <v>52</v>
      </c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2"/>
      <c r="O24" s="70" t="s">
        <v>53</v>
      </c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2"/>
    </row>
    <row r="25" spans="2:26" x14ac:dyDescent="0.3"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2:26" x14ac:dyDescent="0.3"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2:26" x14ac:dyDescent="0.3"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2:26" ht="15.6" x14ac:dyDescent="0.3">
      <c r="B28" s="17"/>
      <c r="C28" s="48">
        <f>SUM(DATA!AK14:AM14)</f>
        <v>8135.3</v>
      </c>
      <c r="D28" s="22" t="s">
        <v>54</v>
      </c>
      <c r="E28" s="17"/>
      <c r="F28" s="17"/>
      <c r="G28" s="17"/>
      <c r="H28" s="17"/>
      <c r="I28" s="17"/>
      <c r="J28" s="17"/>
      <c r="K28" s="17"/>
      <c r="L28" s="17"/>
      <c r="M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2:26" ht="15.6" x14ac:dyDescent="0.3">
      <c r="B29" s="17"/>
      <c r="C29" s="49"/>
      <c r="D29" s="17"/>
      <c r="E29" s="17"/>
      <c r="F29" s="17"/>
      <c r="G29" s="17"/>
      <c r="H29" s="17"/>
      <c r="I29" s="17"/>
      <c r="J29" s="17"/>
      <c r="K29" s="17"/>
      <c r="L29" s="17"/>
      <c r="M29" s="17"/>
      <c r="O29" s="17"/>
      <c r="P29" s="17"/>
      <c r="Q29" s="50">
        <f>SUM(DATA!AB14:AD14)</f>
        <v>1086.136</v>
      </c>
      <c r="R29" s="22" t="s">
        <v>54</v>
      </c>
      <c r="S29" s="17"/>
      <c r="T29" s="17"/>
      <c r="U29" s="17"/>
      <c r="V29" s="17"/>
      <c r="W29" s="17"/>
      <c r="X29" s="17"/>
      <c r="Y29" s="17"/>
      <c r="Z29" s="17"/>
    </row>
    <row r="30" spans="2:26" ht="15.6" x14ac:dyDescent="0.3">
      <c r="B30" s="17"/>
      <c r="C30" s="48">
        <f>SUM(DATA!AN14:AP14)</f>
        <v>7358</v>
      </c>
      <c r="D30" s="46" t="s">
        <v>55</v>
      </c>
      <c r="E30" s="17"/>
      <c r="F30" s="17"/>
      <c r="G30" s="17"/>
      <c r="H30" s="17"/>
      <c r="I30" s="17"/>
      <c r="J30" s="17"/>
      <c r="K30" s="17"/>
      <c r="L30" s="17"/>
      <c r="M30" s="17"/>
      <c r="O30" s="17"/>
      <c r="P30" s="17"/>
      <c r="Q30" s="49"/>
      <c r="R30" s="17"/>
      <c r="S30" s="17"/>
      <c r="T30" s="17"/>
      <c r="U30" s="17"/>
      <c r="V30" s="17"/>
      <c r="W30" s="17"/>
      <c r="X30" s="17"/>
      <c r="Y30" s="17"/>
      <c r="Z30" s="17"/>
    </row>
    <row r="31" spans="2:26" ht="15.6" x14ac:dyDescent="0.3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O31" s="17"/>
      <c r="P31" s="17"/>
      <c r="Q31" s="50">
        <f>SUM(DATA!AH14:AJ14)</f>
        <v>1136</v>
      </c>
      <c r="R31" s="22" t="s">
        <v>48</v>
      </c>
      <c r="S31" s="17"/>
      <c r="T31" s="17"/>
      <c r="U31" s="17"/>
      <c r="V31" s="17"/>
      <c r="W31" s="17"/>
      <c r="X31" s="17"/>
      <c r="Y31" s="17"/>
      <c r="Z31" s="17"/>
    </row>
    <row r="32" spans="2:26" ht="15.6" x14ac:dyDescent="0.3">
      <c r="B32" s="17"/>
      <c r="C32" s="21">
        <f>C28/C30</f>
        <v>1.1056401195977168</v>
      </c>
      <c r="D32" s="47" t="s">
        <v>48</v>
      </c>
      <c r="E32" s="17"/>
      <c r="F32" s="17"/>
      <c r="G32" s="17"/>
      <c r="H32" s="17"/>
      <c r="I32" s="17"/>
      <c r="J32" s="17"/>
      <c r="K32" s="17"/>
      <c r="L32" s="17"/>
      <c r="M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2:26" ht="15.6" x14ac:dyDescent="0.3"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O33" s="17"/>
      <c r="P33" s="17"/>
      <c r="Q33" s="23">
        <f>Q29/Q31</f>
        <v>0.95610563380281688</v>
      </c>
      <c r="R33" s="22" t="s">
        <v>48</v>
      </c>
      <c r="S33" s="17"/>
      <c r="T33" s="17"/>
      <c r="U33" s="17"/>
      <c r="V33" s="17"/>
      <c r="W33" s="17"/>
      <c r="X33" s="17"/>
      <c r="Y33" s="17"/>
      <c r="Z33" s="17"/>
    </row>
    <row r="34" spans="2:26" x14ac:dyDescent="0.3"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2:26" x14ac:dyDescent="0.3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2:26" x14ac:dyDescent="0.3"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2:26" x14ac:dyDescent="0.3"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2:26" x14ac:dyDescent="0.3"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2:26" x14ac:dyDescent="0.3"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2:26" x14ac:dyDescent="0.3"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2:26" x14ac:dyDescent="0.3"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2:26" x14ac:dyDescent="0.3"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2:26" x14ac:dyDescent="0.3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</sheetData>
  <mergeCells count="8">
    <mergeCell ref="O3:Z3"/>
    <mergeCell ref="M1:O1"/>
    <mergeCell ref="B24:M24"/>
    <mergeCell ref="O24:Z24"/>
    <mergeCell ref="D7:E7"/>
    <mergeCell ref="D9:E9"/>
    <mergeCell ref="D12:E12"/>
    <mergeCell ref="B3:M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F670DFB-7ACD-4F19-A3A7-6D4920248785}">
          <x14:formula1>
            <xm:f>DATA!$CL$2:$CL$5</xm:f>
          </x14:formula1>
          <xm:sqref>M1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Siddiqui</dc:creator>
  <cp:lastModifiedBy>Yusuf Siddiqui</cp:lastModifiedBy>
  <dcterms:created xsi:type="dcterms:W3CDTF">2025-09-06T16:04:09Z</dcterms:created>
  <dcterms:modified xsi:type="dcterms:W3CDTF">2025-09-09T03:51:10Z</dcterms:modified>
</cp:coreProperties>
</file>